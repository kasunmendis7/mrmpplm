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S:\Python Virtual ENV\Chart Generation\interim\data\Analysis\"/>
    </mc:Choice>
  </mc:AlternateContent>
  <xr:revisionPtr revIDLastSave="0" documentId="13_ncr:1_{C74FCE01-EF1D-4BFD-AF34-F315CF0FB5A9}" xr6:coauthVersionLast="47" xr6:coauthVersionMax="47" xr10:uidLastSave="{00000000-0000-0000-0000-000000000000}"/>
  <bookViews>
    <workbookView xWindow="-120" yWindow="-120" windowWidth="29040" windowHeight="15720" tabRatio="911" xr2:uid="{00000000-000D-0000-FFFF-FFFF00000000}"/>
  </bookViews>
  <sheets>
    <sheet name="Summary" sheetId="1" r:id="rId1"/>
    <sheet name="Vanilla" sheetId="2" r:id="rId2"/>
    <sheet name="XBZRLE" sheetId="3" r:id="rId3"/>
    <sheet name="Compress" sheetId="4" r:id="rId4"/>
    <sheet name="HBFDP_SHA1" sheetId="5" r:id="rId5"/>
    <sheet name="HBFDP_MD5" sheetId="6" r:id="rId6"/>
    <sheet name="HBFDP_Murmur3" sheetId="7" r:id="rId7"/>
    <sheet name="XBZRLE_HBFDP_SHA1" sheetId="8" r:id="rId8"/>
    <sheet name="XBZRLE_HBFDP_MD5" sheetId="9" r:id="rId9"/>
    <sheet name="XBZRLE_HBFDP_Murmur3" sheetId="10" r:id="rId10"/>
    <sheet name="Compress_HBFDP_SHA1" sheetId="11" r:id="rId11"/>
    <sheet name="Compress_HBFDP_MD5" sheetId="12" r:id="rId12"/>
    <sheet name="Compress_HBFDP_Murmur3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E7" i="1" s="1"/>
  <c r="C8" i="1"/>
  <c r="C7" i="1"/>
  <c r="B8" i="1"/>
  <c r="M17" i="1" s="1"/>
  <c r="B7" i="1"/>
  <c r="N16" i="1" s="1"/>
  <c r="B6" i="1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R16" i="1"/>
  <c r="Q16" i="1"/>
  <c r="P16" i="1"/>
  <c r="O16" i="1"/>
  <c r="M16" i="1"/>
  <c r="K16" i="1"/>
  <c r="I16" i="1"/>
  <c r="H12" i="1"/>
  <c r="H13" i="1"/>
  <c r="H14" i="1"/>
  <c r="H16" i="1"/>
  <c r="H15" i="1"/>
  <c r="R12" i="1"/>
  <c r="Q12" i="1"/>
  <c r="E16" i="1"/>
  <c r="D16" i="1"/>
  <c r="C16" i="1"/>
  <c r="B16" i="1"/>
  <c r="E8" i="1"/>
  <c r="B21" i="1"/>
  <c r="B14" i="1"/>
  <c r="B15" i="1"/>
  <c r="E6" i="1"/>
  <c r="R41" i="13"/>
  <c r="Q41" i="13"/>
  <c r="C107" i="1" s="1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R34" i="13"/>
  <c r="D106" i="1" s="1"/>
  <c r="Q34" i="13"/>
  <c r="C106" i="1" s="1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R27" i="13"/>
  <c r="D105" i="1" s="1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B103" i="1" s="1"/>
  <c r="D13" i="13"/>
  <c r="C13" i="13"/>
  <c r="B13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B102" i="1" s="1"/>
  <c r="D6" i="13"/>
  <c r="C6" i="13"/>
  <c r="B6" i="13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41" i="12"/>
  <c r="R34" i="12"/>
  <c r="Q34" i="12"/>
  <c r="C97" i="1" s="1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R13" i="12"/>
  <c r="D94" i="1" s="1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R6" i="12"/>
  <c r="D93" i="1" s="1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R20" i="11"/>
  <c r="D86" i="1" s="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R13" i="11"/>
  <c r="D85" i="1" s="1"/>
  <c r="E85" i="1" s="1"/>
  <c r="Q13" i="11"/>
  <c r="C85" i="1" s="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R6" i="11"/>
  <c r="D84" i="1" s="1"/>
  <c r="Q6" i="11"/>
  <c r="C84" i="1" s="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R41" i="10"/>
  <c r="D80" i="1" s="1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B78" i="1" s="1"/>
  <c r="D27" i="10"/>
  <c r="C27" i="10"/>
  <c r="B27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B77" i="1" s="1"/>
  <c r="D20" i="10"/>
  <c r="C20" i="10"/>
  <c r="B20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R6" i="10"/>
  <c r="Q6" i="10"/>
  <c r="C75" i="1" s="1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R27" i="9"/>
  <c r="D69" i="1" s="1"/>
  <c r="Q27" i="9"/>
  <c r="C69" i="1" s="1"/>
  <c r="E69" i="1" s="1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R20" i="9"/>
  <c r="D68" i="1" s="1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R34" i="8"/>
  <c r="D61" i="1" s="1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R27" i="8"/>
  <c r="D60" i="1" s="1"/>
  <c r="Q27" i="8"/>
  <c r="C60" i="1" s="1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R20" i="8"/>
  <c r="D59" i="1" s="1"/>
  <c r="Q20" i="8"/>
  <c r="C59" i="1" s="1"/>
  <c r="E59" i="1" s="1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R13" i="8"/>
  <c r="D58" i="1" s="1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R41" i="7"/>
  <c r="Q41" i="7"/>
  <c r="C53" i="1" s="1"/>
  <c r="P41" i="7"/>
  <c r="O41" i="7"/>
  <c r="N41" i="7"/>
  <c r="M41" i="7"/>
  <c r="L41" i="7"/>
  <c r="K41" i="7"/>
  <c r="J41" i="7"/>
  <c r="I41" i="7"/>
  <c r="H41" i="7"/>
  <c r="G41" i="7"/>
  <c r="F41" i="7"/>
  <c r="E41" i="7"/>
  <c r="B53" i="1" s="1"/>
  <c r="D41" i="7"/>
  <c r="C41" i="7"/>
  <c r="B41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B52" i="1" s="1"/>
  <c r="D34" i="7"/>
  <c r="C34" i="7"/>
  <c r="B34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R20" i="7"/>
  <c r="Q20" i="7"/>
  <c r="C50" i="1" s="1"/>
  <c r="P20" i="7"/>
  <c r="O20" i="7"/>
  <c r="N20" i="7"/>
  <c r="M20" i="7"/>
  <c r="L20" i="7"/>
  <c r="K20" i="7"/>
  <c r="J20" i="7"/>
  <c r="I20" i="7"/>
  <c r="H20" i="7"/>
  <c r="G20" i="7"/>
  <c r="F20" i="7"/>
  <c r="E20" i="7"/>
  <c r="B50" i="1" s="1"/>
  <c r="D20" i="7"/>
  <c r="C20" i="7"/>
  <c r="B20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R41" i="6"/>
  <c r="D44" i="1" s="1"/>
  <c r="Q41" i="6"/>
  <c r="C44" i="1" s="1"/>
  <c r="E44" i="1" s="1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R34" i="6"/>
  <c r="D43" i="1" s="1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R6" i="6"/>
  <c r="D39" i="1" s="1"/>
  <c r="Q6" i="6"/>
  <c r="C39" i="1" s="1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R41" i="5"/>
  <c r="D35" i="1" s="1"/>
  <c r="Q41" i="5"/>
  <c r="C35" i="1" s="1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R34" i="5"/>
  <c r="D34" i="1" s="1"/>
  <c r="Q34" i="5"/>
  <c r="C34" i="1" s="1"/>
  <c r="E34" i="1" s="1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R27" i="5"/>
  <c r="D33" i="1" s="1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B33" i="1" s="1"/>
  <c r="D27" i="5"/>
  <c r="C27" i="5"/>
  <c r="B27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R13" i="5"/>
  <c r="Q13" i="5"/>
  <c r="C31" i="1" s="1"/>
  <c r="P13" i="5"/>
  <c r="O13" i="5"/>
  <c r="N13" i="5"/>
  <c r="M13" i="5"/>
  <c r="L13" i="5"/>
  <c r="K13" i="5"/>
  <c r="J13" i="5"/>
  <c r="I13" i="5"/>
  <c r="H13" i="5"/>
  <c r="G13" i="5"/>
  <c r="F13" i="5"/>
  <c r="E13" i="5"/>
  <c r="B31" i="1" s="1"/>
  <c r="D13" i="5"/>
  <c r="C13" i="5"/>
  <c r="B13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B30" i="1" s="1"/>
  <c r="D6" i="5"/>
  <c r="C6" i="5"/>
  <c r="B6" i="5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R34" i="4"/>
  <c r="Q34" i="4"/>
  <c r="C25" i="1" s="1"/>
  <c r="P34" i="4"/>
  <c r="O34" i="4"/>
  <c r="N34" i="4"/>
  <c r="M34" i="4"/>
  <c r="L34" i="4"/>
  <c r="K34" i="4"/>
  <c r="J34" i="4"/>
  <c r="I34" i="4"/>
  <c r="H34" i="4"/>
  <c r="G34" i="4"/>
  <c r="F34" i="4"/>
  <c r="E34" i="4"/>
  <c r="B25" i="1" s="1"/>
  <c r="D34" i="4"/>
  <c r="C34" i="4"/>
  <c r="B34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R13" i="4"/>
  <c r="D22" i="1" s="1"/>
  <c r="Q13" i="4"/>
  <c r="C22" i="1" s="1"/>
  <c r="E22" i="1" s="1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R6" i="4"/>
  <c r="D21" i="1" s="1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B17" i="1" s="1"/>
  <c r="D41" i="3"/>
  <c r="C41" i="3"/>
  <c r="B41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R20" i="3"/>
  <c r="D14" i="1" s="1"/>
  <c r="Q20" i="3"/>
  <c r="C14" i="1" s="1"/>
  <c r="E14" i="1" s="1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R13" i="3"/>
  <c r="D13" i="1" s="1"/>
  <c r="E13" i="1" s="1"/>
  <c r="Q13" i="3"/>
  <c r="C13" i="1" s="1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R6" i="3"/>
  <c r="D12" i="1" s="1"/>
  <c r="Q6" i="3"/>
  <c r="C12" i="1" s="1"/>
  <c r="E12" i="1" s="1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R27" i="2"/>
  <c r="D6" i="1" s="1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P15" i="1" s="1"/>
  <c r="D27" i="2"/>
  <c r="C27" i="2"/>
  <c r="B27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R13" i="2"/>
  <c r="Q13" i="2"/>
  <c r="C4" i="1" s="1"/>
  <c r="P13" i="2"/>
  <c r="O13" i="2"/>
  <c r="N13" i="2"/>
  <c r="M13" i="2"/>
  <c r="L13" i="2"/>
  <c r="K13" i="2"/>
  <c r="J13" i="2"/>
  <c r="I13" i="2"/>
  <c r="H13" i="2"/>
  <c r="G13" i="2"/>
  <c r="F13" i="2"/>
  <c r="E13" i="2"/>
  <c r="B4" i="1" s="1"/>
  <c r="D13" i="2"/>
  <c r="C13" i="2"/>
  <c r="B13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B3" i="1" s="1"/>
  <c r="L12" i="1" s="1"/>
  <c r="D6" i="2"/>
  <c r="C6" i="2"/>
  <c r="B6" i="2"/>
  <c r="D107" i="1"/>
  <c r="B107" i="1"/>
  <c r="B106" i="1"/>
  <c r="C105" i="1"/>
  <c r="E105" i="1" s="1"/>
  <c r="B105" i="1"/>
  <c r="D104" i="1"/>
  <c r="C104" i="1"/>
  <c r="B104" i="1"/>
  <c r="D103" i="1"/>
  <c r="C103" i="1"/>
  <c r="E103" i="1" s="1"/>
  <c r="D102" i="1"/>
  <c r="C102" i="1"/>
  <c r="D98" i="1"/>
  <c r="C98" i="1"/>
  <c r="B98" i="1"/>
  <c r="D97" i="1"/>
  <c r="B97" i="1"/>
  <c r="D96" i="1"/>
  <c r="C96" i="1"/>
  <c r="E96" i="1" s="1"/>
  <c r="B96" i="1"/>
  <c r="D95" i="1"/>
  <c r="C95" i="1"/>
  <c r="E95" i="1" s="1"/>
  <c r="B95" i="1"/>
  <c r="C94" i="1"/>
  <c r="E94" i="1" s="1"/>
  <c r="B94" i="1"/>
  <c r="C93" i="1"/>
  <c r="E93" i="1" s="1"/>
  <c r="B93" i="1"/>
  <c r="D89" i="1"/>
  <c r="C89" i="1"/>
  <c r="E89" i="1" s="1"/>
  <c r="B89" i="1"/>
  <c r="D88" i="1"/>
  <c r="C88" i="1"/>
  <c r="E88" i="1" s="1"/>
  <c r="B88" i="1"/>
  <c r="D87" i="1"/>
  <c r="C87" i="1"/>
  <c r="E87" i="1" s="1"/>
  <c r="B87" i="1"/>
  <c r="C86" i="1"/>
  <c r="B86" i="1"/>
  <c r="B85" i="1"/>
  <c r="B84" i="1"/>
  <c r="C80" i="1"/>
  <c r="B80" i="1"/>
  <c r="D79" i="1"/>
  <c r="C79" i="1"/>
  <c r="B79" i="1"/>
  <c r="D78" i="1"/>
  <c r="C78" i="1"/>
  <c r="E78" i="1" s="1"/>
  <c r="D77" i="1"/>
  <c r="C77" i="1"/>
  <c r="D76" i="1"/>
  <c r="C76" i="1"/>
  <c r="E76" i="1" s="1"/>
  <c r="B76" i="1"/>
  <c r="D75" i="1"/>
  <c r="B75" i="1"/>
  <c r="D71" i="1"/>
  <c r="C71" i="1"/>
  <c r="E71" i="1" s="1"/>
  <c r="B71" i="1"/>
  <c r="D70" i="1"/>
  <c r="C70" i="1"/>
  <c r="E70" i="1" s="1"/>
  <c r="B70" i="1"/>
  <c r="B69" i="1"/>
  <c r="C68" i="1"/>
  <c r="B68" i="1"/>
  <c r="D67" i="1"/>
  <c r="C67" i="1"/>
  <c r="B67" i="1"/>
  <c r="D66" i="1"/>
  <c r="C66" i="1"/>
  <c r="B66" i="1"/>
  <c r="D62" i="1"/>
  <c r="C62" i="1"/>
  <c r="E62" i="1" s="1"/>
  <c r="B62" i="1"/>
  <c r="C61" i="1"/>
  <c r="B61" i="1"/>
  <c r="B60" i="1"/>
  <c r="B59" i="1"/>
  <c r="C58" i="1"/>
  <c r="E58" i="1" s="1"/>
  <c r="B58" i="1"/>
  <c r="D57" i="1"/>
  <c r="C57" i="1"/>
  <c r="E57" i="1" s="1"/>
  <c r="B57" i="1"/>
  <c r="D53" i="1"/>
  <c r="D52" i="1"/>
  <c r="C52" i="1"/>
  <c r="E52" i="1" s="1"/>
  <c r="D51" i="1"/>
  <c r="C51" i="1"/>
  <c r="E51" i="1" s="1"/>
  <c r="B51" i="1"/>
  <c r="D50" i="1"/>
  <c r="D49" i="1"/>
  <c r="C49" i="1"/>
  <c r="E49" i="1" s="1"/>
  <c r="B49" i="1"/>
  <c r="D48" i="1"/>
  <c r="C48" i="1"/>
  <c r="E48" i="1" s="1"/>
  <c r="B48" i="1"/>
  <c r="B44" i="1"/>
  <c r="C43" i="1"/>
  <c r="B43" i="1"/>
  <c r="D42" i="1"/>
  <c r="C42" i="1"/>
  <c r="E42" i="1" s="1"/>
  <c r="B42" i="1"/>
  <c r="D41" i="1"/>
  <c r="C41" i="1"/>
  <c r="E41" i="1" s="1"/>
  <c r="B41" i="1"/>
  <c r="D40" i="1"/>
  <c r="C40" i="1"/>
  <c r="E40" i="1" s="1"/>
  <c r="B40" i="1"/>
  <c r="B39" i="1"/>
  <c r="B35" i="1"/>
  <c r="B34" i="1"/>
  <c r="C33" i="1"/>
  <c r="D32" i="1"/>
  <c r="C32" i="1"/>
  <c r="E32" i="1" s="1"/>
  <c r="B32" i="1"/>
  <c r="D31" i="1"/>
  <c r="D30" i="1"/>
  <c r="C30" i="1"/>
  <c r="E30" i="1" s="1"/>
  <c r="D26" i="1"/>
  <c r="C26" i="1"/>
  <c r="E26" i="1" s="1"/>
  <c r="B26" i="1"/>
  <c r="D25" i="1"/>
  <c r="E25" i="1" s="1"/>
  <c r="D24" i="1"/>
  <c r="C24" i="1"/>
  <c r="E24" i="1" s="1"/>
  <c r="B24" i="1"/>
  <c r="D23" i="1"/>
  <c r="C23" i="1"/>
  <c r="E23" i="1" s="1"/>
  <c r="B23" i="1"/>
  <c r="B22" i="1"/>
  <c r="C21" i="1"/>
  <c r="D17" i="1"/>
  <c r="C17" i="1"/>
  <c r="E17" i="1" s="1"/>
  <c r="D15" i="1"/>
  <c r="C15" i="1"/>
  <c r="E15" i="1" s="1"/>
  <c r="B13" i="1"/>
  <c r="B12" i="1"/>
  <c r="C6" i="1"/>
  <c r="D5" i="1"/>
  <c r="C5" i="1"/>
  <c r="B5" i="1"/>
  <c r="D4" i="1"/>
  <c r="D3" i="1"/>
  <c r="C3" i="1"/>
  <c r="O17" i="1" l="1"/>
  <c r="P17" i="1"/>
  <c r="Q17" i="1"/>
  <c r="R17" i="1"/>
  <c r="I17" i="1"/>
  <c r="J17" i="1"/>
  <c r="K17" i="1"/>
  <c r="H17" i="1"/>
  <c r="J16" i="1"/>
  <c r="L16" i="1"/>
  <c r="L17" i="1"/>
  <c r="N17" i="1"/>
  <c r="E104" i="1"/>
  <c r="N12" i="1"/>
  <c r="E66" i="1"/>
  <c r="E80" i="1"/>
  <c r="E21" i="1"/>
  <c r="E43" i="1"/>
  <c r="E97" i="1"/>
  <c r="E84" i="1"/>
  <c r="Q13" i="1"/>
  <c r="E39" i="1"/>
  <c r="I13" i="1"/>
  <c r="M12" i="1"/>
  <c r="M13" i="1"/>
  <c r="E61" i="1"/>
  <c r="E50" i="1"/>
  <c r="E75" i="1"/>
  <c r="E86" i="1"/>
  <c r="E3" i="1"/>
  <c r="E67" i="1"/>
  <c r="E77" i="1"/>
  <c r="E4" i="1"/>
  <c r="E31" i="1"/>
  <c r="E53" i="1"/>
  <c r="P14" i="1"/>
  <c r="E5" i="1"/>
  <c r="E33" i="1"/>
  <c r="E68" i="1"/>
  <c r="E98" i="1"/>
  <c r="E106" i="1"/>
  <c r="E79" i="1"/>
  <c r="E102" i="1"/>
  <c r="P13" i="1"/>
  <c r="E35" i="1"/>
  <c r="E60" i="1"/>
  <c r="E107" i="1"/>
  <c r="I14" i="1"/>
  <c r="M14" i="1"/>
  <c r="Q14" i="1"/>
  <c r="I15" i="1"/>
  <c r="M15" i="1"/>
  <c r="Q15" i="1"/>
  <c r="J15" i="1"/>
  <c r="N13" i="1"/>
  <c r="R13" i="1"/>
  <c r="J13" i="1"/>
  <c r="N14" i="1"/>
  <c r="R14" i="1"/>
  <c r="J12" i="1"/>
  <c r="N15" i="1"/>
  <c r="R15" i="1"/>
  <c r="K12" i="1"/>
  <c r="O12" i="1"/>
  <c r="J14" i="1"/>
  <c r="K13" i="1"/>
  <c r="O13" i="1"/>
  <c r="I12" i="1"/>
  <c r="K14" i="1"/>
  <c r="O14" i="1"/>
  <c r="K15" i="1"/>
  <c r="O15" i="1"/>
  <c r="L13" i="1"/>
  <c r="P12" i="1"/>
  <c r="L14" i="1"/>
  <c r="L15" i="1"/>
</calcChain>
</file>

<file path=xl/sharedStrings.xml><?xml version="1.0" encoding="utf-8"?>
<sst xmlns="http://schemas.openxmlformats.org/spreadsheetml/2006/main" count="1562" uniqueCount="50">
  <si>
    <t>Optimization</t>
  </si>
  <si>
    <t>Vanilla</t>
  </si>
  <si>
    <t>Ram</t>
  </si>
  <si>
    <t>Total-Time</t>
  </si>
  <si>
    <t>Total-Fake-Dirty-Pages</t>
  </si>
  <si>
    <t>Total-Transferred-Page-Count</t>
  </si>
  <si>
    <t>XBZRLE</t>
  </si>
  <si>
    <t>Compress</t>
  </si>
  <si>
    <t>HBFDP_SHA1</t>
  </si>
  <si>
    <t>HBFDP_MD5</t>
  </si>
  <si>
    <t>HBFDP_Murmur3</t>
  </si>
  <si>
    <t>XBZRLE_HBFDP_SHA1</t>
  </si>
  <si>
    <t>XBZRLE_HBFDP_MD5</t>
  </si>
  <si>
    <t>XBZRLE_HBFDP_Murmur3</t>
  </si>
  <si>
    <t>Compress_HBFDP_SHA1</t>
  </si>
  <si>
    <t>Compress_HBFDP_MD5</t>
  </si>
  <si>
    <t>Compress_HBFDP_Murmur3</t>
  </si>
  <si>
    <t>RAM</t>
  </si>
  <si>
    <t>Experiment</t>
  </si>
  <si>
    <t>Iterations</t>
  </si>
  <si>
    <t>Setup-Time</t>
  </si>
  <si>
    <t>Downtime</t>
  </si>
  <si>
    <t>Ram-Total</t>
  </si>
  <si>
    <t>Ram-Postcopy-Requests</t>
  </si>
  <si>
    <t>Ram-Dirty-Sync-Count</t>
  </si>
  <si>
    <t>Ram-Remaining</t>
  </si>
  <si>
    <t>Ram-Mbps</t>
  </si>
  <si>
    <t>Ram-Transferred</t>
  </si>
  <si>
    <t>Ram-Duplicate</t>
  </si>
  <si>
    <t>Ram-Dirty-Pages-Rate</t>
  </si>
  <si>
    <t>Ram-Skipped</t>
  </si>
  <si>
    <t>Ram-Normal-Bytes</t>
  </si>
  <si>
    <t>Ram-Normal</t>
  </si>
  <si>
    <t>Average</t>
  </si>
  <si>
    <t>TMT Improvement</t>
  </si>
  <si>
    <t>Vanilla vs</t>
  </si>
  <si>
    <t>X</t>
  </si>
  <si>
    <t>C</t>
  </si>
  <si>
    <t>HS1</t>
  </si>
  <si>
    <t>HM5</t>
  </si>
  <si>
    <t>HM3</t>
  </si>
  <si>
    <t>XHS1</t>
  </si>
  <si>
    <t>XHM5</t>
  </si>
  <si>
    <t>XHM3</t>
  </si>
  <si>
    <t>CHS1</t>
  </si>
  <si>
    <t>CHM5</t>
  </si>
  <si>
    <t>CHM3</t>
  </si>
  <si>
    <t>FD Percentage</t>
  </si>
  <si>
    <t>FD Percentage : The Percentage of Fake Dirty Pages from The Total # of Pages Marked for Transfer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</si>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</sst>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9" fontId="0" fillId="0" borderId="1" xfId="1" applyFon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9" fontId="0" fillId="2" borderId="1" xfId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8"/>
  <sheetViews>
    <sheetView tabSelected="1" topLeftCell="C1" workbookViewId="0">
      <selection activeCell="D10" sqref="D10"/>
    </sheetView>
  </sheetViews>
  <sheetFormatPr defaultRowHeight="15" x14ac:dyDescent="0.25"/>
  <cols>
    <col min="1" max="1" width="25" customWidth="1"/>
    <col min="2" max="2" width="26.28515625" customWidth="1"/>
    <col min="3" max="3" width="25" customWidth="1"/>
    <col min="4" max="4" width="28.28515625" customWidth="1"/>
    <col min="5" max="5" width="25" customWidth="1"/>
    <col min="7" max="7" width="10.28515625" customWidth="1"/>
    <col min="8" max="18" width="10.7109375" customWidth="1"/>
    <col min="22" max="22" width="1.28515625" customWidth="1"/>
    <col min="23" max="23" width="27.5703125" customWidth="1"/>
  </cols>
  <sheetData>
    <row r="1" spans="1:23" x14ac:dyDescent="0.25">
      <c r="A1" s="2" t="s">
        <v>0</v>
      </c>
      <c r="B1" s="2" t="s">
        <v>1</v>
      </c>
      <c r="C1" s="1"/>
      <c r="D1" s="1"/>
      <c r="E1" s="1"/>
      <c r="G1" s="2"/>
    </row>
    <row r="2" spans="1:23" s="3" customFormat="1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47</v>
      </c>
      <c r="G2" s="16" t="s">
        <v>48</v>
      </c>
      <c r="H2" s="16"/>
      <c r="I2" s="16"/>
      <c r="J2" s="16"/>
      <c r="K2" s="16"/>
      <c r="L2" s="16"/>
      <c r="M2" s="16"/>
      <c r="N2" s="16"/>
      <c r="O2" s="16"/>
      <c r="P2" s="3" t="s">
        <v>49</v>
      </c>
    </row>
    <row r="3" spans="1:23" x14ac:dyDescent="0.25">
      <c r="A3" s="5">
        <v>1024</v>
      </c>
      <c r="B3" s="5">
        <f>Vanilla!E6</f>
        <v>10552.333333333334</v>
      </c>
      <c r="C3" s="5">
        <f>Vanilla!Q6</f>
        <v>21901.666666666668</v>
      </c>
      <c r="D3" s="5">
        <f>Vanilla!R6</f>
        <v>304901.33333333331</v>
      </c>
      <c r="E3" s="13">
        <f>C3/D3</f>
        <v>7.1831980618866878E-2</v>
      </c>
      <c r="G3" s="1"/>
      <c r="H3" s="8"/>
    </row>
    <row r="4" spans="1:23" x14ac:dyDescent="0.25">
      <c r="A4" s="5">
        <v>2048</v>
      </c>
      <c r="B4" s="5">
        <f>Vanilla!E13</f>
        <v>22718</v>
      </c>
      <c r="C4" s="5">
        <f>Vanilla!Q13</f>
        <v>56554.666666666664</v>
      </c>
      <c r="D4" s="5">
        <f>Vanilla!R13</f>
        <v>645633</v>
      </c>
      <c r="E4" s="13">
        <f t="shared" ref="E4:E8" si="0">C4/D4</f>
        <v>8.7595687746237674E-2</v>
      </c>
      <c r="G4" s="1"/>
      <c r="H4" s="8"/>
    </row>
    <row r="5" spans="1:23" x14ac:dyDescent="0.25">
      <c r="A5" s="5">
        <v>4096</v>
      </c>
      <c r="B5" s="5">
        <f>Vanilla!E20</f>
        <v>40078</v>
      </c>
      <c r="C5" s="5">
        <f>Vanilla!Q20</f>
        <v>189537.33333333334</v>
      </c>
      <c r="D5" s="5">
        <f>Vanilla!R20</f>
        <v>1344508</v>
      </c>
      <c r="E5" s="13">
        <f t="shared" si="0"/>
        <v>0.14097151771007191</v>
      </c>
      <c r="G5" s="1"/>
      <c r="H5" s="8"/>
    </row>
    <row r="6" spans="1:23" x14ac:dyDescent="0.25">
      <c r="A6" s="5">
        <v>8192</v>
      </c>
      <c r="B6" s="5">
        <f>Vanilla!E27</f>
        <v>56432</v>
      </c>
      <c r="C6" s="5">
        <f>Vanilla!Q27</f>
        <v>187223.66666666666</v>
      </c>
      <c r="D6" s="5">
        <f>Vanilla!R27</f>
        <v>2417097.3333333335</v>
      </c>
      <c r="E6" s="13">
        <f>C6/D6</f>
        <v>7.7458058508745736E-2</v>
      </c>
      <c r="G6" s="1"/>
      <c r="H6" s="8"/>
    </row>
    <row r="7" spans="1:23" x14ac:dyDescent="0.25">
      <c r="A7" s="5">
        <v>12288</v>
      </c>
      <c r="B7" s="5">
        <f>Vanilla!E34</f>
        <v>75654</v>
      </c>
      <c r="C7" s="5">
        <f>Vanilla!Q34</f>
        <v>299065.33333333331</v>
      </c>
      <c r="D7" s="5">
        <f>Vanilla!R34</f>
        <v>3595613.6666666665</v>
      </c>
      <c r="E7" s="13">
        <f>C7/D7</f>
        <v>8.3175046336550248E-2</v>
      </c>
      <c r="G7" s="1"/>
      <c r="H7" s="8"/>
    </row>
    <row r="8" spans="1:23" x14ac:dyDescent="0.25">
      <c r="A8" s="5">
        <v>16384</v>
      </c>
      <c r="B8" s="5">
        <f>Vanilla!E41</f>
        <v>88905</v>
      </c>
      <c r="C8" s="5">
        <f>Vanilla!Q41</f>
        <v>369528.66666666669</v>
      </c>
      <c r="D8" s="5">
        <f>Vanilla!R41</f>
        <v>4734474.333333333</v>
      </c>
      <c r="E8" s="13">
        <f t="shared" ref="E8" si="1">C8/D8</f>
        <v>7.8050622022592733E-2</v>
      </c>
      <c r="G8" s="1"/>
      <c r="H8" s="8"/>
    </row>
    <row r="9" spans="1:23" x14ac:dyDescent="0.25">
      <c r="A9" s="1"/>
      <c r="B9" s="1"/>
      <c r="C9" s="1"/>
      <c r="D9" s="1"/>
      <c r="E9" s="1"/>
      <c r="G9" s="15" t="s">
        <v>34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spans="1:23" s="3" customFormat="1" x14ac:dyDescent="0.25">
      <c r="A10" s="2" t="s">
        <v>0</v>
      </c>
      <c r="B10" s="2" t="s">
        <v>6</v>
      </c>
      <c r="C10" s="2"/>
      <c r="D10" s="2"/>
      <c r="E10" s="2"/>
      <c r="G10" s="9" t="s">
        <v>35</v>
      </c>
      <c r="H10" s="9" t="s">
        <v>36</v>
      </c>
      <c r="I10" s="6" t="s">
        <v>37</v>
      </c>
      <c r="J10" s="6" t="s">
        <v>38</v>
      </c>
      <c r="K10" s="6" t="s">
        <v>39</v>
      </c>
      <c r="L10" s="6" t="s">
        <v>40</v>
      </c>
      <c r="M10" s="6" t="s">
        <v>41</v>
      </c>
      <c r="N10" s="6" t="s">
        <v>42</v>
      </c>
      <c r="O10" s="6" t="s">
        <v>43</v>
      </c>
      <c r="P10" s="6" t="s">
        <v>44</v>
      </c>
      <c r="Q10" s="6" t="s">
        <v>45</v>
      </c>
      <c r="R10" s="6" t="s">
        <v>46</v>
      </c>
    </row>
    <row r="11" spans="1:23" s="3" customFormat="1" x14ac:dyDescent="0.25">
      <c r="A11" s="4" t="s">
        <v>2</v>
      </c>
      <c r="B11" s="4" t="s">
        <v>3</v>
      </c>
      <c r="C11" s="4" t="s">
        <v>4</v>
      </c>
      <c r="D11" s="4" t="s">
        <v>5</v>
      </c>
      <c r="E11" s="4" t="s">
        <v>47</v>
      </c>
      <c r="G11" s="4" t="s">
        <v>2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U11" s="14" t="s">
        <v>36</v>
      </c>
      <c r="W11" s="11" t="s">
        <v>6</v>
      </c>
    </row>
    <row r="12" spans="1:23" x14ac:dyDescent="0.25">
      <c r="A12" s="5">
        <v>1024</v>
      </c>
      <c r="B12" s="5">
        <f>XBZRLE!E6</f>
        <v>10232.666666666666</v>
      </c>
      <c r="C12" s="5">
        <f>XBZRLE!Q6</f>
        <v>21649.666666666668</v>
      </c>
      <c r="D12" s="5">
        <f>XBZRLE!R6</f>
        <v>300142.33333333331</v>
      </c>
      <c r="E12" s="13">
        <f>C12/D12</f>
        <v>7.2131333245226997E-2</v>
      </c>
      <c r="G12" s="5">
        <v>1024</v>
      </c>
      <c r="H12" s="7">
        <f>(B3-B12)/B3</f>
        <v>3.0293458002969439E-2</v>
      </c>
      <c r="I12" s="7">
        <f>($B$3-$B21)/$B$3</f>
        <v>0.32267744890545541</v>
      </c>
      <c r="J12" s="7">
        <f>($B$3-$B30)/$B$3</f>
        <v>5.9891967021511824E-2</v>
      </c>
      <c r="K12" s="7">
        <f>($B$3-$B39)/$B$3</f>
        <v>7.5591496351517948E-2</v>
      </c>
      <c r="L12" s="7">
        <f>($B$3-$B48)/$B$3</f>
        <v>5.673310800139001E-2</v>
      </c>
      <c r="M12" s="7">
        <f>($B$3-$B57)/$B$3</f>
        <v>2.5649935243390203E-2</v>
      </c>
      <c r="N12" s="7">
        <f>($B$3-$B66)/$B$3</f>
        <v>1.8321382316707262E-2</v>
      </c>
      <c r="O12" s="7">
        <f>($B$3-$B75)/$B$3</f>
        <v>1.7342136020469405E-2</v>
      </c>
      <c r="P12" s="7">
        <f>($B$3-$B84)/$B$3</f>
        <v>0.36715418390877219</v>
      </c>
      <c r="Q12" s="12">
        <f>($B$3-$B93)/$B$3</f>
        <v>0.3972896989607354</v>
      </c>
      <c r="R12" s="18">
        <f>($B$3-$B102)/$B$3</f>
        <v>0.38544397763527816</v>
      </c>
      <c r="U12" s="14" t="s">
        <v>37</v>
      </c>
      <c r="W12" s="10" t="s">
        <v>7</v>
      </c>
    </row>
    <row r="13" spans="1:23" x14ac:dyDescent="0.25">
      <c r="A13" s="5">
        <v>2048</v>
      </c>
      <c r="B13" s="5">
        <f>XBZRLE!E13</f>
        <v>21128.333333333332</v>
      </c>
      <c r="C13" s="5">
        <f>XBZRLE!Q13</f>
        <v>37841.666666666664</v>
      </c>
      <c r="D13" s="5">
        <f>XBZRLE!R13</f>
        <v>595248</v>
      </c>
      <c r="E13" s="13">
        <f t="shared" ref="E13:E17" si="2">C13/D13</f>
        <v>6.3572942146242678E-2</v>
      </c>
      <c r="G13" s="5">
        <v>2048</v>
      </c>
      <c r="H13" s="7">
        <f>(B4-B13)/B4</f>
        <v>6.9973882677465793E-2</v>
      </c>
      <c r="I13" s="7">
        <f>($B$4-$B22)/$B$4</f>
        <v>0.33095636352965341</v>
      </c>
      <c r="J13" s="7">
        <f>($B$4-$B31)/$B$4</f>
        <v>9.2349678668896915E-2</v>
      </c>
      <c r="K13" s="7">
        <f>($B$4-$B40)/$B$4</f>
        <v>0.10520292279249933</v>
      </c>
      <c r="L13" s="7">
        <f>($B$4-$B49)/$B$4</f>
        <v>8.6876779059189529E-2</v>
      </c>
      <c r="M13" s="7">
        <f>($B$4-$B58)/$B$4</f>
        <v>0.11206972444757461</v>
      </c>
      <c r="N13" s="7">
        <f>($B$4-$B67)/$B$4</f>
        <v>0.11174692607917369</v>
      </c>
      <c r="O13" s="7">
        <f>($B$4-$B76)/$B$4</f>
        <v>0.11557648854065798</v>
      </c>
      <c r="P13" s="7">
        <f>($B$4-$B85)/$B$4</f>
        <v>0.37013234733104439</v>
      </c>
      <c r="Q13" s="12">
        <f>($B$4-$B94)/$B$4</f>
        <v>0.39607359802799541</v>
      </c>
      <c r="R13" s="7">
        <f>($B$4-$B103)/$B$4</f>
        <v>0.37849575960325144</v>
      </c>
      <c r="U13" s="14" t="s">
        <v>38</v>
      </c>
      <c r="W13" s="11" t="s">
        <v>8</v>
      </c>
    </row>
    <row r="14" spans="1:23" x14ac:dyDescent="0.25">
      <c r="A14" s="5">
        <v>4096</v>
      </c>
      <c r="B14" s="5">
        <f>XBZRLE!E20</f>
        <v>38105</v>
      </c>
      <c r="C14" s="5">
        <f>XBZRLE!Q20</f>
        <v>171713</v>
      </c>
      <c r="D14" s="5">
        <f>XBZRLE!R20</f>
        <v>1310042.3333333333</v>
      </c>
      <c r="E14" s="13">
        <f t="shared" si="2"/>
        <v>0.13107439021690648</v>
      </c>
      <c r="G14" s="5">
        <v>4096</v>
      </c>
      <c r="H14" s="7">
        <f>(B5-B14)/B5</f>
        <v>4.9229003443285596E-2</v>
      </c>
      <c r="I14" s="7">
        <f>($B$5-$B23)/$B$5</f>
        <v>0.35124839895537036</v>
      </c>
      <c r="J14" s="7">
        <f>($B$5-$B32)/$B$5</f>
        <v>0.12040687326380219</v>
      </c>
      <c r="K14" s="7">
        <f>($B$5-$B41)/$B$5</f>
        <v>0.13983565380840701</v>
      </c>
      <c r="L14" s="7">
        <f>($B$5-$B50)/$B$5</f>
        <v>0.13394713641731962</v>
      </c>
      <c r="M14" s="7">
        <f>($B$5-$B59)/$B$5</f>
        <v>0.10085333599481013</v>
      </c>
      <c r="N14" s="7">
        <f>($B$5-$B68)/$B$5</f>
        <v>0.1429213034582564</v>
      </c>
      <c r="O14" s="7">
        <f>($B$5-$B77)/$B$5</f>
        <v>0.10015469833824044</v>
      </c>
      <c r="P14" s="7">
        <f>($B$5-$B86)/$B$5</f>
        <v>0.35702047673702947</v>
      </c>
      <c r="Q14" s="12">
        <f>($B$5-$B95)/$B$5</f>
        <v>0.3944391769383036</v>
      </c>
      <c r="R14" s="7">
        <f>($B$5-$B104)/$B$5</f>
        <v>0.37826238834273168</v>
      </c>
      <c r="U14" s="14" t="s">
        <v>39</v>
      </c>
      <c r="W14" s="11" t="s">
        <v>9</v>
      </c>
    </row>
    <row r="15" spans="1:23" x14ac:dyDescent="0.25">
      <c r="A15" s="5">
        <v>8192</v>
      </c>
      <c r="B15" s="5">
        <f>XBZRLE!E27</f>
        <v>55719.666666666664</v>
      </c>
      <c r="C15" s="5">
        <f>XBZRLE!Q27</f>
        <v>189679.66666666666</v>
      </c>
      <c r="D15" s="5">
        <f>XBZRLE!R27</f>
        <v>2446905.6666666665</v>
      </c>
      <c r="E15" s="13">
        <f t="shared" si="2"/>
        <v>7.751817703910939E-2</v>
      </c>
      <c r="G15" s="5">
        <v>8192</v>
      </c>
      <c r="H15" s="7">
        <f>(B6-B15)/B6</f>
        <v>1.2622861733295573E-2</v>
      </c>
      <c r="I15" s="7">
        <f>($B$6-$B24)/$B$6</f>
        <v>0.19538559682449674</v>
      </c>
      <c r="J15" s="7">
        <f>($B$6-$B33)/$B$6</f>
        <v>7.4721198374444714E-2</v>
      </c>
      <c r="K15" s="7">
        <f>($B$6-$B42)/$B$6</f>
        <v>0.10856724317172285</v>
      </c>
      <c r="L15" s="7">
        <f>($B$6-$B51)/$B$6</f>
        <v>9.3558028541725693E-2</v>
      </c>
      <c r="M15" s="7">
        <f>($B$6-$B60)/$B$6</f>
        <v>6.6215386069369581E-2</v>
      </c>
      <c r="N15" s="7">
        <f>($B$6-$B69)/$B$6</f>
        <v>0.11005576032511101</v>
      </c>
      <c r="O15" s="7">
        <f>($B$6-$B78)/$B$6</f>
        <v>7.5181929874302958E-2</v>
      </c>
      <c r="P15" s="7">
        <f>($B$6-$B87)/$B$6</f>
        <v>0.23071425196106224</v>
      </c>
      <c r="Q15" s="12">
        <f>($B$6-$B96)/$B$6</f>
        <v>0.26187269634250071</v>
      </c>
      <c r="R15" s="7">
        <f>($B$6-$B105)/$B$6</f>
        <v>0.21656743218977417</v>
      </c>
      <c r="U15" s="14" t="s">
        <v>40</v>
      </c>
      <c r="W15" s="11" t="s">
        <v>10</v>
      </c>
    </row>
    <row r="16" spans="1:23" x14ac:dyDescent="0.25">
      <c r="A16" s="5">
        <v>12288</v>
      </c>
      <c r="B16" s="5">
        <f>XBZRLE!E34</f>
        <v>73263.333333333328</v>
      </c>
      <c r="C16" s="5">
        <f>XBZRLE!Q34</f>
        <v>269453.66666666669</v>
      </c>
      <c r="D16" s="5">
        <f>XBZRLE!R34</f>
        <v>3525425</v>
      </c>
      <c r="E16" s="13">
        <f>C16/D16</f>
        <v>7.6431541350806403E-2</v>
      </c>
      <c r="G16" s="5">
        <v>12288</v>
      </c>
      <c r="H16" s="7">
        <f>(B7-B16)/B7</f>
        <v>3.1600003524819197E-2</v>
      </c>
      <c r="I16" s="7">
        <f>($B$7-$B25)/$B$7</f>
        <v>0.17617046025325825</v>
      </c>
      <c r="J16" s="7">
        <f>($B$7-$B34)/$B$7</f>
        <v>0.10212722834659541</v>
      </c>
      <c r="K16" s="7">
        <f>($B$7-$B43)/$B$7</f>
        <v>0.14328830376891288</v>
      </c>
      <c r="L16" s="7">
        <f>($B$7-$B52)/$B$7</f>
        <v>0.10712365946722352</v>
      </c>
      <c r="M16" s="7">
        <f>($B$7-$B61)/$B$7</f>
        <v>8.2665820710074819E-2</v>
      </c>
      <c r="N16" s="7">
        <f>($B$7-$B70)/$B$7</f>
        <v>0.13428239088481772</v>
      </c>
      <c r="O16" s="7">
        <f>($B$7-$B79)/$B$7</f>
        <v>0.10626889082753947</v>
      </c>
      <c r="P16" s="7">
        <f>($B$7-$B88)/$B$7</f>
        <v>0.18037821309294069</v>
      </c>
      <c r="Q16" s="12">
        <f>($B$7-$B97)/$B$6</f>
        <v>0.31571330687080623</v>
      </c>
      <c r="R16" s="7">
        <f>($B$7-$B106)/$B$7</f>
        <v>0.19545122090922706</v>
      </c>
      <c r="U16" s="14" t="s">
        <v>41</v>
      </c>
      <c r="W16" s="11" t="s">
        <v>11</v>
      </c>
    </row>
    <row r="17" spans="1:23" x14ac:dyDescent="0.25">
      <c r="A17" s="5">
        <v>16384</v>
      </c>
      <c r="B17" s="5">
        <f>XBZRLE!E41</f>
        <v>88181.666666666672</v>
      </c>
      <c r="C17" s="5">
        <f>XBZRLE!Q41</f>
        <v>298566</v>
      </c>
      <c r="D17" s="5">
        <f>XBZRLE!R41</f>
        <v>4628958</v>
      </c>
      <c r="E17" s="13">
        <f t="shared" si="2"/>
        <v>6.4499613087869889E-2</v>
      </c>
      <c r="G17" s="5">
        <v>16384</v>
      </c>
      <c r="H17" s="7">
        <f>(B8-B17)/B8</f>
        <v>8.1360253454060907E-3</v>
      </c>
      <c r="I17" s="7">
        <f>($B$8-$B26)/$B$8</f>
        <v>9.7253622780870908E-2</v>
      </c>
      <c r="J17" s="7">
        <f>($B$8-$B35)/$B$8</f>
        <v>2.132238531766123E-2</v>
      </c>
      <c r="K17" s="7">
        <f>($B$8-$B44)/$B$8</f>
        <v>0.12845546744652525</v>
      </c>
      <c r="L17" s="7">
        <f>($B$8-$B53)/$B$8</f>
        <v>4.3094689087602819E-2</v>
      </c>
      <c r="M17" s="7">
        <f>($B$8-$B62)/$B$8</f>
        <v>2.2544663779689878E-2</v>
      </c>
      <c r="N17" s="7">
        <f>($B$8-$B71)/$B$8</f>
        <v>6.3532234782445629E-2</v>
      </c>
      <c r="O17" s="7">
        <f>($B$8-$B80)/$B$8</f>
        <v>2.8142399190146786E-2</v>
      </c>
      <c r="P17" s="7">
        <f>($B$8-$B89)/$B$8</f>
        <v>9.8505895806385149E-2</v>
      </c>
      <c r="Q17" s="12">
        <f>($B$8-$B98)/$B$8</f>
        <v>0.1412668953752132</v>
      </c>
      <c r="R17" s="7">
        <f>($B$8-$B107)/$B$8</f>
        <v>9.7684794630973196E-2</v>
      </c>
      <c r="U17" s="14" t="s">
        <v>42</v>
      </c>
      <c r="W17" s="11" t="s">
        <v>12</v>
      </c>
    </row>
    <row r="18" spans="1:23" x14ac:dyDescent="0.25">
      <c r="A18" s="1"/>
      <c r="B18" s="1"/>
      <c r="C18" s="1"/>
      <c r="D18" s="1"/>
      <c r="E18" s="1"/>
      <c r="U18" s="14" t="s">
        <v>43</v>
      </c>
      <c r="W18" s="11" t="s">
        <v>13</v>
      </c>
    </row>
    <row r="19" spans="1:23" s="3" customFormat="1" x14ac:dyDescent="0.25">
      <c r="A19" s="2" t="s">
        <v>0</v>
      </c>
      <c r="B19" s="2" t="s">
        <v>7</v>
      </c>
      <c r="C19" s="2"/>
      <c r="D19" s="2"/>
      <c r="E19" s="2"/>
      <c r="G19" s="17"/>
      <c r="H19" s="17"/>
      <c r="U19" s="14" t="s">
        <v>44</v>
      </c>
      <c r="W19" s="11" t="s">
        <v>14</v>
      </c>
    </row>
    <row r="20" spans="1:23" s="3" customFormat="1" x14ac:dyDescent="0.25">
      <c r="A20" s="4" t="s">
        <v>2</v>
      </c>
      <c r="B20" s="4" t="s">
        <v>3</v>
      </c>
      <c r="C20" s="4" t="s">
        <v>4</v>
      </c>
      <c r="D20" s="4" t="s">
        <v>5</v>
      </c>
      <c r="E20" s="4" t="s">
        <v>47</v>
      </c>
      <c r="G20" s="2"/>
      <c r="H20" s="2"/>
      <c r="U20" s="14" t="s">
        <v>45</v>
      </c>
      <c r="W20" s="11" t="s">
        <v>15</v>
      </c>
    </row>
    <row r="21" spans="1:23" x14ac:dyDescent="0.25">
      <c r="A21" s="5">
        <v>1024</v>
      </c>
      <c r="B21" s="5">
        <f>Compress!E6</f>
        <v>7147.333333333333</v>
      </c>
      <c r="C21" s="5">
        <f>Compress!Q6</f>
        <v>22758.333333333332</v>
      </c>
      <c r="D21" s="5">
        <f>Compress!R6</f>
        <v>286471</v>
      </c>
      <c r="E21" s="13">
        <f>C21/D21</f>
        <v>7.9443759868654526E-2</v>
      </c>
      <c r="G21" s="1"/>
      <c r="H21" s="8"/>
      <c r="U21" s="14" t="s">
        <v>46</v>
      </c>
      <c r="W21" s="11" t="s">
        <v>16</v>
      </c>
    </row>
    <row r="22" spans="1:23" x14ac:dyDescent="0.25">
      <c r="A22" s="5">
        <v>2048</v>
      </c>
      <c r="B22" s="5">
        <f>Compress!E13</f>
        <v>15199.333333333334</v>
      </c>
      <c r="C22" s="5">
        <f>Compress!Q13</f>
        <v>49604.333333333336</v>
      </c>
      <c r="D22" s="5">
        <f>Compress!R13</f>
        <v>560801.66666666663</v>
      </c>
      <c r="E22" s="13">
        <f t="shared" ref="E22:E26" si="3">C22/D22</f>
        <v>8.8452542639851889E-2</v>
      </c>
      <c r="G22" s="1"/>
      <c r="H22" s="8"/>
    </row>
    <row r="23" spans="1:23" x14ac:dyDescent="0.25">
      <c r="A23" s="5">
        <v>4096</v>
      </c>
      <c r="B23" s="5">
        <f>Compress!E20</f>
        <v>26000.666666666668</v>
      </c>
      <c r="C23" s="5">
        <f>Compress!Q20</f>
        <v>98742</v>
      </c>
      <c r="D23" s="5">
        <f>Compress!R20</f>
        <v>1119809</v>
      </c>
      <c r="E23" s="13">
        <f t="shared" si="3"/>
        <v>8.8177537419327767E-2</v>
      </c>
      <c r="G23" s="1"/>
      <c r="H23" s="8"/>
    </row>
    <row r="24" spans="1:23" x14ac:dyDescent="0.25">
      <c r="A24" s="5">
        <v>8192</v>
      </c>
      <c r="B24" s="5">
        <f>Compress!E27</f>
        <v>45406</v>
      </c>
      <c r="C24" s="5">
        <f>Compress!Q27</f>
        <v>131451</v>
      </c>
      <c r="D24" s="5">
        <f>Compress!R27</f>
        <v>2177441</v>
      </c>
      <c r="E24" s="13">
        <f t="shared" si="3"/>
        <v>6.0369488771452359E-2</v>
      </c>
      <c r="G24" s="1"/>
      <c r="H24" s="8"/>
    </row>
    <row r="25" spans="1:23" x14ac:dyDescent="0.25">
      <c r="A25" s="5">
        <v>12288</v>
      </c>
      <c r="B25" s="5">
        <f>Compress!E34</f>
        <v>62326</v>
      </c>
      <c r="C25" s="5">
        <f>Compress!Q34</f>
        <v>164240</v>
      </c>
      <c r="D25" s="5">
        <f>Compress!R34</f>
        <v>3227472.3333333335</v>
      </c>
      <c r="E25" s="13">
        <f t="shared" si="3"/>
        <v>5.088812018734578E-2</v>
      </c>
    </row>
    <row r="26" spans="1:23" x14ac:dyDescent="0.25">
      <c r="A26" s="5">
        <v>16384</v>
      </c>
      <c r="B26" s="5">
        <f>Compress!E41</f>
        <v>80258.666666666672</v>
      </c>
      <c r="C26" s="5">
        <f>Compress!Q41</f>
        <v>185558.66666666666</v>
      </c>
      <c r="D26" s="5">
        <f>Compress!R41</f>
        <v>4285914.666666667</v>
      </c>
      <c r="E26" s="13">
        <f t="shared" si="3"/>
        <v>4.329499794054073E-2</v>
      </c>
    </row>
    <row r="27" spans="1:23" x14ac:dyDescent="0.25">
      <c r="A27" s="1"/>
      <c r="B27" s="1"/>
      <c r="C27" s="1"/>
      <c r="D27" s="1"/>
      <c r="E27" s="1"/>
    </row>
    <row r="28" spans="1:23" s="3" customFormat="1" x14ac:dyDescent="0.25">
      <c r="A28" s="2" t="s">
        <v>0</v>
      </c>
      <c r="B28" s="2" t="s">
        <v>8</v>
      </c>
      <c r="C28" s="2"/>
      <c r="D28" s="2"/>
      <c r="E28" s="2"/>
      <c r="G28" s="17"/>
      <c r="H28" s="17"/>
    </row>
    <row r="29" spans="1:23" s="3" customFormat="1" x14ac:dyDescent="0.25">
      <c r="A29" s="4" t="s">
        <v>2</v>
      </c>
      <c r="B29" s="4" t="s">
        <v>3</v>
      </c>
      <c r="C29" s="4" t="s">
        <v>4</v>
      </c>
      <c r="D29" s="4" t="s">
        <v>5</v>
      </c>
      <c r="E29" s="4" t="s">
        <v>47</v>
      </c>
      <c r="G29" s="2"/>
      <c r="H29" s="2"/>
    </row>
    <row r="30" spans="1:23" x14ac:dyDescent="0.25">
      <c r="A30" s="5">
        <v>1024</v>
      </c>
      <c r="B30" s="5">
        <f>HBFDP_SHA1!E6</f>
        <v>9920.3333333333339</v>
      </c>
      <c r="C30" s="5">
        <f>HBFDP_SHA1!Q6</f>
        <v>22806.333333333332</v>
      </c>
      <c r="D30" s="5">
        <f>HBFDP_SHA1!R6</f>
        <v>280989.33333333331</v>
      </c>
      <c r="E30" s="7">
        <f>C30/(C30+D30)</f>
        <v>7.5071292436692652E-2</v>
      </c>
      <c r="G30" s="1"/>
      <c r="H30" s="8"/>
    </row>
    <row r="31" spans="1:23" x14ac:dyDescent="0.25">
      <c r="A31" s="5">
        <v>2048</v>
      </c>
      <c r="B31" s="5">
        <f>HBFDP_SHA1!E13</f>
        <v>20620</v>
      </c>
      <c r="C31" s="5">
        <f>HBFDP_SHA1!Q13</f>
        <v>55412</v>
      </c>
      <c r="D31" s="5">
        <f>HBFDP_SHA1!R13</f>
        <v>572684.66666666663</v>
      </c>
      <c r="E31" s="7">
        <f t="shared" ref="E31:E35" si="4">C31/(C31+D31)</f>
        <v>8.8222088956583122E-2</v>
      </c>
      <c r="G31" s="1"/>
      <c r="H31" s="8"/>
    </row>
    <row r="32" spans="1:23" x14ac:dyDescent="0.25">
      <c r="A32" s="5">
        <v>4096</v>
      </c>
      <c r="B32" s="5">
        <f>HBFDP_SHA1!E20</f>
        <v>35252.333333333336</v>
      </c>
      <c r="C32" s="5">
        <f>HBFDP_SHA1!Q20</f>
        <v>65187</v>
      </c>
      <c r="D32" s="5">
        <f>HBFDP_SHA1!R20</f>
        <v>1146898</v>
      </c>
      <c r="E32" s="7">
        <f t="shared" si="4"/>
        <v>5.3780881703840905E-2</v>
      </c>
      <c r="G32" s="1"/>
      <c r="H32" s="8"/>
    </row>
    <row r="33" spans="1:8" x14ac:dyDescent="0.25">
      <c r="A33" s="5">
        <v>8192</v>
      </c>
      <c r="B33" s="5">
        <f>HBFDP_SHA1!E27</f>
        <v>52215.333333333336</v>
      </c>
      <c r="C33" s="5">
        <f>HBFDP_SHA1!Q27</f>
        <v>139477.33333333334</v>
      </c>
      <c r="D33" s="5">
        <f>HBFDP_SHA1!R27</f>
        <v>2206718</v>
      </c>
      <c r="E33" s="7">
        <f t="shared" si="4"/>
        <v>5.9448303963324449E-2</v>
      </c>
      <c r="G33" s="1"/>
      <c r="H33" s="8"/>
    </row>
    <row r="34" spans="1:8" x14ac:dyDescent="0.25">
      <c r="A34" s="5">
        <v>12288</v>
      </c>
      <c r="B34" s="5">
        <f>HBFDP_SHA1!E34</f>
        <v>67927.666666666672</v>
      </c>
      <c r="C34" s="5">
        <f>HBFDP_SHA1!Q34</f>
        <v>181700.33333333334</v>
      </c>
      <c r="D34" s="5">
        <f>HBFDP_SHA1!R34</f>
        <v>3270437.3333333335</v>
      </c>
      <c r="E34" s="7">
        <f t="shared" si="4"/>
        <v>5.2634150453443676E-2</v>
      </c>
    </row>
    <row r="35" spans="1:8" x14ac:dyDescent="0.25">
      <c r="A35" s="5">
        <v>16384</v>
      </c>
      <c r="B35" s="5">
        <f>HBFDP_SHA1!E41</f>
        <v>87009.333333333328</v>
      </c>
      <c r="C35" s="5">
        <f>HBFDP_SHA1!Q41</f>
        <v>273227.66666666669</v>
      </c>
      <c r="D35" s="5">
        <f>HBFDP_SHA1!R41</f>
        <v>4347026.666666667</v>
      </c>
      <c r="E35" s="7">
        <f t="shared" si="4"/>
        <v>5.9136932072209873E-2</v>
      </c>
    </row>
    <row r="36" spans="1:8" x14ac:dyDescent="0.25">
      <c r="A36" s="1"/>
      <c r="B36" s="1"/>
      <c r="C36" s="1"/>
      <c r="D36" s="1"/>
      <c r="E36" s="1"/>
    </row>
    <row r="37" spans="1:8" s="3" customFormat="1" x14ac:dyDescent="0.25">
      <c r="A37" s="2" t="s">
        <v>0</v>
      </c>
      <c r="B37" s="2" t="s">
        <v>9</v>
      </c>
      <c r="C37" s="2"/>
      <c r="D37" s="2"/>
      <c r="E37" s="2"/>
      <c r="G37" s="17"/>
      <c r="H37" s="17"/>
    </row>
    <row r="38" spans="1:8" s="3" customFormat="1" x14ac:dyDescent="0.25">
      <c r="A38" s="4" t="s">
        <v>2</v>
      </c>
      <c r="B38" s="4" t="s">
        <v>3</v>
      </c>
      <c r="C38" s="4" t="s">
        <v>4</v>
      </c>
      <c r="D38" s="4" t="s">
        <v>5</v>
      </c>
      <c r="E38" s="4" t="s">
        <v>47</v>
      </c>
      <c r="G38" s="2"/>
      <c r="H38" s="2"/>
    </row>
    <row r="39" spans="1:8" x14ac:dyDescent="0.25">
      <c r="A39" s="5">
        <v>1024</v>
      </c>
      <c r="B39" s="5">
        <f>HBFDP_MD5!E6</f>
        <v>9754.6666666666661</v>
      </c>
      <c r="C39" s="5">
        <f>HBFDP_MD5!Q6</f>
        <v>20370.666666666668</v>
      </c>
      <c r="D39" s="5">
        <f>HBFDP_MD5!R6</f>
        <v>280295</v>
      </c>
      <c r="E39" s="7">
        <f>C39/(C39+D39)</f>
        <v>6.7751888310049815E-2</v>
      </c>
      <c r="G39" s="1"/>
      <c r="H39" s="8"/>
    </row>
    <row r="40" spans="1:8" x14ac:dyDescent="0.25">
      <c r="A40" s="5">
        <v>2048</v>
      </c>
      <c r="B40" s="5">
        <f>HBFDP_MD5!E13</f>
        <v>20328</v>
      </c>
      <c r="C40" s="5">
        <f>HBFDP_MD5!Q13</f>
        <v>50730</v>
      </c>
      <c r="D40" s="5">
        <f>HBFDP_MD5!R13</f>
        <v>569226.66666666663</v>
      </c>
      <c r="E40" s="7">
        <f t="shared" ref="E40:E44" si="5">C40/(C40+D40)</f>
        <v>8.1828299827407303E-2</v>
      </c>
      <c r="G40" s="1"/>
      <c r="H40" s="8"/>
    </row>
    <row r="41" spans="1:8" x14ac:dyDescent="0.25">
      <c r="A41" s="5">
        <v>4096</v>
      </c>
      <c r="B41" s="5">
        <f>HBFDP_MD5!E20</f>
        <v>34473.666666666664</v>
      </c>
      <c r="C41" s="5">
        <f>HBFDP_MD5!Q20</f>
        <v>84192.666666666672</v>
      </c>
      <c r="D41" s="5">
        <f>HBFDP_MD5!R20</f>
        <v>1140615.6666666667</v>
      </c>
      <c r="E41" s="7">
        <f t="shared" si="5"/>
        <v>6.8739462637011223E-2</v>
      </c>
      <c r="G41" s="1"/>
      <c r="H41" s="8"/>
    </row>
    <row r="42" spans="1:8" x14ac:dyDescent="0.25">
      <c r="A42" s="5">
        <v>8192</v>
      </c>
      <c r="B42" s="5">
        <f>HBFDP_MD5!E27</f>
        <v>50305.333333333336</v>
      </c>
      <c r="C42" s="5">
        <f>HBFDP_MD5!Q27</f>
        <v>155633.33333333334</v>
      </c>
      <c r="D42" s="5">
        <f>HBFDP_MD5!R27</f>
        <v>2204676</v>
      </c>
      <c r="E42" s="7">
        <f t="shared" si="5"/>
        <v>6.5937685003999477E-2</v>
      </c>
      <c r="G42" s="1"/>
      <c r="H42" s="8"/>
    </row>
    <row r="43" spans="1:8" x14ac:dyDescent="0.25">
      <c r="A43" s="5">
        <v>12288</v>
      </c>
      <c r="B43" s="5">
        <f>HBFDP_MD5!E34</f>
        <v>64813.666666666664</v>
      </c>
      <c r="C43" s="5">
        <f>HBFDP_MD5!Q34</f>
        <v>148972.66666666666</v>
      </c>
      <c r="D43" s="5">
        <f>HBFDP_MD5!R34</f>
        <v>3244051.6666666665</v>
      </c>
      <c r="E43" s="7">
        <f t="shared" si="5"/>
        <v>4.3905569790097784E-2</v>
      </c>
    </row>
    <row r="44" spans="1:8" x14ac:dyDescent="0.25">
      <c r="A44" s="5">
        <v>16384</v>
      </c>
      <c r="B44" s="5">
        <f>HBFDP_MD5!E41</f>
        <v>77484.666666666672</v>
      </c>
      <c r="C44" s="5">
        <f>HBFDP_MD5!Q41</f>
        <v>94311.666666666672</v>
      </c>
      <c r="D44" s="5">
        <f>HBFDP_MD5!R41</f>
        <v>4321348</v>
      </c>
      <c r="E44" s="7">
        <f t="shared" si="5"/>
        <v>2.1358454633316773E-2</v>
      </c>
    </row>
    <row r="45" spans="1:8" x14ac:dyDescent="0.25">
      <c r="A45" s="1"/>
      <c r="B45" s="1"/>
      <c r="C45" s="1"/>
      <c r="D45" s="1"/>
      <c r="E45" s="1"/>
    </row>
    <row r="46" spans="1:8" s="3" customFormat="1" x14ac:dyDescent="0.25">
      <c r="A46" s="2" t="s">
        <v>0</v>
      </c>
      <c r="B46" s="2" t="s">
        <v>10</v>
      </c>
      <c r="C46" s="2"/>
      <c r="D46" s="2"/>
      <c r="E46" s="2"/>
      <c r="G46" s="17"/>
      <c r="H46" s="17"/>
    </row>
    <row r="47" spans="1:8" s="3" customFormat="1" x14ac:dyDescent="0.25">
      <c r="A47" s="4" t="s">
        <v>2</v>
      </c>
      <c r="B47" s="4" t="s">
        <v>3</v>
      </c>
      <c r="C47" s="4" t="s">
        <v>4</v>
      </c>
      <c r="D47" s="4" t="s">
        <v>5</v>
      </c>
      <c r="E47" s="4" t="s">
        <v>47</v>
      </c>
      <c r="G47" s="2"/>
      <c r="H47" s="2"/>
    </row>
    <row r="48" spans="1:8" x14ac:dyDescent="0.25">
      <c r="A48" s="5">
        <v>1024</v>
      </c>
      <c r="B48" s="5">
        <f>HBFDP_Murmur3!E6</f>
        <v>9953.6666666666661</v>
      </c>
      <c r="C48" s="5">
        <f>HBFDP_Murmur3!Q6</f>
        <v>22767</v>
      </c>
      <c r="D48" s="5">
        <f>HBFDP_Murmur3!R6</f>
        <v>281891</v>
      </c>
      <c r="E48" s="7">
        <f>C48/(C48+D48)</f>
        <v>7.4729696906038909E-2</v>
      </c>
      <c r="G48" s="1"/>
      <c r="H48" s="8"/>
    </row>
    <row r="49" spans="1:8" x14ac:dyDescent="0.25">
      <c r="A49" s="5">
        <v>2048</v>
      </c>
      <c r="B49" s="5">
        <f>HBFDP_Murmur3!E13</f>
        <v>20744.333333333332</v>
      </c>
      <c r="C49" s="5">
        <f>HBFDP_Murmur3!Q13</f>
        <v>51510</v>
      </c>
      <c r="D49" s="5">
        <f>HBFDP_Murmur3!R13</f>
        <v>573110.33333333337</v>
      </c>
      <c r="E49" s="7">
        <f t="shared" ref="E49:E53" si="6">C49/(C49+D49)</f>
        <v>8.2466095404088127E-2</v>
      </c>
      <c r="G49" s="1"/>
      <c r="H49" s="8"/>
    </row>
    <row r="50" spans="1:8" x14ac:dyDescent="0.25">
      <c r="A50" s="5">
        <v>4096</v>
      </c>
      <c r="B50" s="5">
        <f>HBFDP_Murmur3!E20</f>
        <v>34709.666666666664</v>
      </c>
      <c r="C50" s="5">
        <f>HBFDP_Murmur3!Q20</f>
        <v>53151</v>
      </c>
      <c r="D50" s="5">
        <f>HBFDP_Murmur3!R20</f>
        <v>1145558.6666666667</v>
      </c>
      <c r="E50" s="7">
        <f t="shared" si="6"/>
        <v>4.4340178008074792E-2</v>
      </c>
      <c r="G50" s="1"/>
      <c r="H50" s="8"/>
    </row>
    <row r="51" spans="1:8" x14ac:dyDescent="0.25">
      <c r="A51" s="5">
        <v>8192</v>
      </c>
      <c r="B51" s="5">
        <f>HBFDP_Murmur3!E27</f>
        <v>51152.333333333336</v>
      </c>
      <c r="C51" s="5">
        <f>HBFDP_Murmur3!Q27</f>
        <v>171172.33333333334</v>
      </c>
      <c r="D51" s="5">
        <f>HBFDP_Murmur3!R27</f>
        <v>2204566.3333333335</v>
      </c>
      <c r="E51" s="7">
        <f t="shared" si="6"/>
        <v>7.2050152542030427E-2</v>
      </c>
      <c r="G51" s="1"/>
      <c r="H51" s="8"/>
    </row>
    <row r="52" spans="1:8" x14ac:dyDescent="0.25">
      <c r="A52" s="5">
        <v>12288</v>
      </c>
      <c r="B52" s="5">
        <f>HBFDP_Murmur3!E34</f>
        <v>67549.666666666672</v>
      </c>
      <c r="C52" s="5">
        <f>HBFDP_Murmur3!Q34</f>
        <v>129685.33333333333</v>
      </c>
      <c r="D52" s="5">
        <f>HBFDP_Murmur3!R34</f>
        <v>3269505</v>
      </c>
      <c r="E52" s="7">
        <f t="shared" si="6"/>
        <v>3.8151830470216877E-2</v>
      </c>
    </row>
    <row r="53" spans="1:8" x14ac:dyDescent="0.25">
      <c r="A53" s="5">
        <v>16384</v>
      </c>
      <c r="B53" s="5">
        <f>HBFDP_Murmur3!E41</f>
        <v>85073.666666666672</v>
      </c>
      <c r="C53" s="5">
        <f>HBFDP_Murmur3!Q41</f>
        <v>232937.66666666666</v>
      </c>
      <c r="D53" s="5">
        <f>HBFDP_Murmur3!R41</f>
        <v>4321247.333333333</v>
      </c>
      <c r="E53" s="7">
        <f t="shared" si="6"/>
        <v>5.1148046613536044E-2</v>
      </c>
    </row>
    <row r="54" spans="1:8" x14ac:dyDescent="0.25">
      <c r="A54" s="1"/>
      <c r="B54" s="1"/>
      <c r="C54" s="1"/>
      <c r="D54" s="1"/>
      <c r="E54" s="1"/>
    </row>
    <row r="55" spans="1:8" s="3" customFormat="1" x14ac:dyDescent="0.25">
      <c r="A55" s="2" t="s">
        <v>0</v>
      </c>
      <c r="B55" s="2" t="s">
        <v>11</v>
      </c>
      <c r="C55" s="2"/>
      <c r="D55" s="2"/>
      <c r="E55" s="2"/>
      <c r="G55" s="17"/>
      <c r="H55" s="17"/>
    </row>
    <row r="56" spans="1:8" s="3" customFormat="1" x14ac:dyDescent="0.25">
      <c r="A56" s="4" t="s">
        <v>2</v>
      </c>
      <c r="B56" s="4" t="s">
        <v>3</v>
      </c>
      <c r="C56" s="4" t="s">
        <v>4</v>
      </c>
      <c r="D56" s="4" t="s">
        <v>5</v>
      </c>
      <c r="E56" s="4" t="s">
        <v>47</v>
      </c>
      <c r="G56" s="2"/>
      <c r="H56" s="2"/>
    </row>
    <row r="57" spans="1:8" x14ac:dyDescent="0.25">
      <c r="A57" s="5">
        <v>1024</v>
      </c>
      <c r="B57" s="5">
        <f>XBZRLE_HBFDP_SHA1!E6</f>
        <v>10281.666666666666</v>
      </c>
      <c r="C57" s="5">
        <f>XBZRLE_HBFDP_SHA1!Q6</f>
        <v>24383.666666666668</v>
      </c>
      <c r="D57" s="5">
        <f>XBZRLE_HBFDP_SHA1!R6</f>
        <v>283771.66666666669</v>
      </c>
      <c r="E57" s="7">
        <f>C57/(C57+D57)</f>
        <v>7.9127842451750516E-2</v>
      </c>
      <c r="G57" s="1"/>
      <c r="H57" s="8"/>
    </row>
    <row r="58" spans="1:8" x14ac:dyDescent="0.25">
      <c r="A58" s="5">
        <v>2048</v>
      </c>
      <c r="B58" s="5">
        <f>XBZRLE_HBFDP_SHA1!E13</f>
        <v>20172</v>
      </c>
      <c r="C58" s="5">
        <f>XBZRLE_HBFDP_SHA1!Q13</f>
        <v>50557.666666666664</v>
      </c>
      <c r="D58" s="5">
        <f>XBZRLE_HBFDP_SHA1!R13</f>
        <v>565419</v>
      </c>
      <c r="E58" s="7">
        <f t="shared" ref="E58:E62" si="7">C58/(C58+D58)</f>
        <v>8.2077243185618501E-2</v>
      </c>
      <c r="G58" s="1"/>
      <c r="H58" s="8"/>
    </row>
    <row r="59" spans="1:8" x14ac:dyDescent="0.25">
      <c r="A59" s="5">
        <v>4096</v>
      </c>
      <c r="B59" s="5">
        <f>XBZRLE_HBFDP_SHA1!E20</f>
        <v>36036</v>
      </c>
      <c r="C59" s="5">
        <f>XBZRLE_HBFDP_SHA1!Q20</f>
        <v>95525.666666666672</v>
      </c>
      <c r="D59" s="5">
        <f>XBZRLE_HBFDP_SHA1!R20</f>
        <v>1143215</v>
      </c>
      <c r="E59" s="7">
        <f t="shared" si="7"/>
        <v>7.711514543533729E-2</v>
      </c>
      <c r="G59" s="1"/>
      <c r="H59" s="8"/>
    </row>
    <row r="60" spans="1:8" x14ac:dyDescent="0.25">
      <c r="A60" s="5">
        <v>8192</v>
      </c>
      <c r="B60" s="5">
        <f>XBZRLE_HBFDP_SHA1!E27</f>
        <v>52695.333333333336</v>
      </c>
      <c r="C60" s="5">
        <f>XBZRLE_HBFDP_SHA1!Q27</f>
        <v>168198</v>
      </c>
      <c r="D60" s="5">
        <f>XBZRLE_HBFDP_SHA1!R27</f>
        <v>2203081.6666666665</v>
      </c>
      <c r="E60" s="7">
        <f t="shared" si="7"/>
        <v>7.0931321330156616E-2</v>
      </c>
      <c r="G60" s="1"/>
      <c r="H60" s="8"/>
    </row>
    <row r="61" spans="1:8" x14ac:dyDescent="0.25">
      <c r="A61" s="5">
        <v>12288</v>
      </c>
      <c r="B61" s="5">
        <f>XBZRLE_HBFDP_SHA1!E34</f>
        <v>69400</v>
      </c>
      <c r="C61" s="5">
        <f>XBZRLE_HBFDP_SHA1!Q34</f>
        <v>198785.33333333334</v>
      </c>
      <c r="D61" s="5">
        <f>XBZRLE_HBFDP_SHA1!R34</f>
        <v>3282093.6666666665</v>
      </c>
      <c r="E61" s="7">
        <f t="shared" si="7"/>
        <v>5.7107797580247213E-2</v>
      </c>
    </row>
    <row r="62" spans="1:8" x14ac:dyDescent="0.25">
      <c r="A62" s="5">
        <v>16384</v>
      </c>
      <c r="B62" s="5">
        <f>XBZRLE_HBFDP_SHA1!E41</f>
        <v>86900.666666666672</v>
      </c>
      <c r="C62" s="5">
        <f>XBZRLE_HBFDP_SHA1!Q41</f>
        <v>226706.66666666666</v>
      </c>
      <c r="D62" s="5">
        <f>XBZRLE_HBFDP_SHA1!R41</f>
        <v>4364478.333333333</v>
      </c>
      <c r="E62" s="7">
        <f t="shared" si="7"/>
        <v>4.9378682555084721E-2</v>
      </c>
    </row>
    <row r="63" spans="1:8" x14ac:dyDescent="0.25">
      <c r="A63" s="1"/>
      <c r="B63" s="1"/>
      <c r="C63" s="1"/>
      <c r="D63" s="1"/>
      <c r="E63" s="1"/>
    </row>
    <row r="64" spans="1:8" s="3" customFormat="1" x14ac:dyDescent="0.25">
      <c r="A64" s="2" t="s">
        <v>0</v>
      </c>
      <c r="B64" s="2" t="s">
        <v>12</v>
      </c>
      <c r="C64" s="2"/>
      <c r="D64" s="2"/>
      <c r="E64" s="2"/>
      <c r="G64" s="17"/>
      <c r="H64" s="17"/>
    </row>
    <row r="65" spans="1:8" s="3" customFormat="1" x14ac:dyDescent="0.25">
      <c r="A65" s="4" t="s">
        <v>2</v>
      </c>
      <c r="B65" s="4" t="s">
        <v>3</v>
      </c>
      <c r="C65" s="4" t="s">
        <v>4</v>
      </c>
      <c r="D65" s="4" t="s">
        <v>5</v>
      </c>
      <c r="E65" s="4" t="s">
        <v>47</v>
      </c>
      <c r="G65" s="2"/>
      <c r="H65" s="2"/>
    </row>
    <row r="66" spans="1:8" x14ac:dyDescent="0.25">
      <c r="A66" s="5">
        <v>1024</v>
      </c>
      <c r="B66" s="5">
        <f>XBZRLE_HBFDP_MD5!E6</f>
        <v>10359</v>
      </c>
      <c r="C66" s="5">
        <f>XBZRLE_HBFDP_MD5!Q6</f>
        <v>26331.666666666668</v>
      </c>
      <c r="D66" s="5">
        <f>XBZRLE_HBFDP_MD5!R6</f>
        <v>287548.66666666669</v>
      </c>
      <c r="E66" s="7">
        <f>C66/(C66+D66)</f>
        <v>8.3890782155832205E-2</v>
      </c>
      <c r="G66" s="1"/>
      <c r="H66" s="8"/>
    </row>
    <row r="67" spans="1:8" x14ac:dyDescent="0.25">
      <c r="A67" s="5">
        <v>2048</v>
      </c>
      <c r="B67" s="5">
        <f>XBZRLE_HBFDP_MD5!E13</f>
        <v>20179.333333333332</v>
      </c>
      <c r="C67" s="5">
        <f>XBZRLE_HBFDP_MD5!Q13</f>
        <v>49794</v>
      </c>
      <c r="D67" s="5">
        <f>XBZRLE_HBFDP_MD5!R13</f>
        <v>562547.66666666663</v>
      </c>
      <c r="E67" s="7">
        <f t="shared" ref="E67:E71" si="8">C67/(C67+D67)</f>
        <v>8.131734734148964E-2</v>
      </c>
      <c r="G67" s="1"/>
      <c r="H67" s="8"/>
    </row>
    <row r="68" spans="1:8" x14ac:dyDescent="0.25">
      <c r="A68" s="5">
        <v>4096</v>
      </c>
      <c r="B68" s="5">
        <f>XBZRLE_HBFDP_MD5!E20</f>
        <v>34350</v>
      </c>
      <c r="C68" s="5">
        <f>XBZRLE_HBFDP_MD5!Q20</f>
        <v>84184.333333333328</v>
      </c>
      <c r="D68" s="5">
        <f>XBZRLE_HBFDP_MD5!R20</f>
        <v>1137235</v>
      </c>
      <c r="E68" s="7">
        <f t="shared" si="8"/>
        <v>6.8923367295643481E-2</v>
      </c>
      <c r="G68" s="1"/>
      <c r="H68" s="8"/>
    </row>
    <row r="69" spans="1:8" x14ac:dyDescent="0.25">
      <c r="A69" s="5">
        <v>8192</v>
      </c>
      <c r="B69" s="5">
        <f>XBZRLE_HBFDP_MD5!E27</f>
        <v>50221.333333333336</v>
      </c>
      <c r="C69" s="5">
        <f>XBZRLE_HBFDP_MD5!Q27</f>
        <v>129490.33333333333</v>
      </c>
      <c r="D69" s="5">
        <f>XBZRLE_HBFDP_MD5!R27</f>
        <v>2197905.3333333335</v>
      </c>
      <c r="E69" s="7">
        <f t="shared" si="8"/>
        <v>5.5637438527498612E-2</v>
      </c>
      <c r="G69" s="1"/>
      <c r="H69" s="8"/>
    </row>
    <row r="70" spans="1:8" x14ac:dyDescent="0.25">
      <c r="A70" s="5">
        <v>12288</v>
      </c>
      <c r="B70" s="5">
        <f>XBZRLE_HBFDP_MD5!E34</f>
        <v>65495</v>
      </c>
      <c r="C70" s="5">
        <f>XBZRLE_HBFDP_MD5!Q34</f>
        <v>168307</v>
      </c>
      <c r="D70" s="5">
        <f>XBZRLE_HBFDP_MD5!R34</f>
        <v>3262834.3333333335</v>
      </c>
      <c r="E70" s="7">
        <f t="shared" si="8"/>
        <v>4.9052773887483893E-2</v>
      </c>
    </row>
    <row r="71" spans="1:8" x14ac:dyDescent="0.25">
      <c r="A71" s="5">
        <v>16384</v>
      </c>
      <c r="B71" s="5">
        <f>XBZRLE_HBFDP_MD5!E41</f>
        <v>83256.666666666672</v>
      </c>
      <c r="C71" s="5">
        <f>XBZRLE_HBFDP_MD5!Q41</f>
        <v>237638.33333333334</v>
      </c>
      <c r="D71" s="5">
        <f>XBZRLE_HBFDP_MD5!R41</f>
        <v>4341754.666666667</v>
      </c>
      <c r="E71" s="7">
        <f t="shared" si="8"/>
        <v>5.189297650001503E-2</v>
      </c>
    </row>
    <row r="72" spans="1:8" x14ac:dyDescent="0.25">
      <c r="A72" s="1"/>
      <c r="B72" s="1"/>
      <c r="C72" s="1"/>
      <c r="D72" s="1"/>
      <c r="E72" s="1"/>
    </row>
    <row r="73" spans="1:8" s="3" customFormat="1" x14ac:dyDescent="0.25">
      <c r="A73" s="2" t="s">
        <v>0</v>
      </c>
      <c r="B73" s="2" t="s">
        <v>13</v>
      </c>
      <c r="C73" s="2"/>
      <c r="D73" s="2"/>
      <c r="E73" s="2"/>
      <c r="G73" s="17"/>
      <c r="H73" s="17"/>
    </row>
    <row r="74" spans="1:8" s="3" customFormat="1" x14ac:dyDescent="0.25">
      <c r="A74" s="4" t="s">
        <v>2</v>
      </c>
      <c r="B74" s="4" t="s">
        <v>3</v>
      </c>
      <c r="C74" s="4" t="s">
        <v>4</v>
      </c>
      <c r="D74" s="4" t="s">
        <v>5</v>
      </c>
      <c r="E74" s="4" t="s">
        <v>47</v>
      </c>
      <c r="G74" s="2"/>
      <c r="H74" s="2"/>
    </row>
    <row r="75" spans="1:8" x14ac:dyDescent="0.25">
      <c r="A75" s="5">
        <v>1024</v>
      </c>
      <c r="B75" s="5">
        <f>XBZRLE_HBFDP_Murmur3!E6</f>
        <v>10369.333333333334</v>
      </c>
      <c r="C75" s="5">
        <f>XBZRLE_HBFDP_Murmur3!Q6</f>
        <v>29779</v>
      </c>
      <c r="D75" s="5">
        <f>XBZRLE_HBFDP_Murmur3!R6</f>
        <v>286362.66666666669</v>
      </c>
      <c r="E75" s="7">
        <f>C75/(C75+D75)</f>
        <v>9.4195112950417798E-2</v>
      </c>
      <c r="G75" s="1"/>
      <c r="H75" s="8"/>
    </row>
    <row r="76" spans="1:8" x14ac:dyDescent="0.25">
      <c r="A76" s="5">
        <v>2048</v>
      </c>
      <c r="B76" s="5">
        <f>XBZRLE_HBFDP_Murmur3!E13</f>
        <v>20092.333333333332</v>
      </c>
      <c r="C76" s="5">
        <f>XBZRLE_HBFDP_Murmur3!Q13</f>
        <v>47334.333333333336</v>
      </c>
      <c r="D76" s="5">
        <f>XBZRLE_HBFDP_Murmur3!R13</f>
        <v>558891.33333333337</v>
      </c>
      <c r="E76" s="7">
        <f t="shared" ref="E76:E80" si="9">C76/(C76+D76)</f>
        <v>7.8080384807197756E-2</v>
      </c>
      <c r="G76" s="1"/>
      <c r="H76" s="8"/>
    </row>
    <row r="77" spans="1:8" x14ac:dyDescent="0.25">
      <c r="A77" s="5">
        <v>4096</v>
      </c>
      <c r="B77" s="5">
        <f>XBZRLE_HBFDP_Murmur3!E20</f>
        <v>36064</v>
      </c>
      <c r="C77" s="5">
        <f>XBZRLE_HBFDP_Murmur3!Q20</f>
        <v>139169.33333333334</v>
      </c>
      <c r="D77" s="5">
        <f>XBZRLE_HBFDP_Murmur3!R20</f>
        <v>1147989.6666666667</v>
      </c>
      <c r="E77" s="7">
        <f t="shared" si="9"/>
        <v>0.10812132248877826</v>
      </c>
      <c r="G77" s="1"/>
      <c r="H77" s="8"/>
    </row>
    <row r="78" spans="1:8" x14ac:dyDescent="0.25">
      <c r="A78" s="5">
        <v>8192</v>
      </c>
      <c r="B78" s="5">
        <f>XBZRLE_HBFDP_Murmur3!E27</f>
        <v>52189.333333333336</v>
      </c>
      <c r="C78" s="5">
        <f>XBZRLE_HBFDP_Murmur3!Q27</f>
        <v>147754.66666666666</v>
      </c>
      <c r="D78" s="5">
        <f>XBZRLE_HBFDP_Murmur3!R27</f>
        <v>2211561</v>
      </c>
      <c r="E78" s="7">
        <f t="shared" si="9"/>
        <v>6.2626069395546477E-2</v>
      </c>
      <c r="G78" s="1"/>
      <c r="H78" s="8"/>
    </row>
    <row r="79" spans="1:8" x14ac:dyDescent="0.25">
      <c r="A79" s="5">
        <v>12288</v>
      </c>
      <c r="B79" s="5">
        <f>XBZRLE_HBFDP_Murmur3!E34</f>
        <v>67614.333333333328</v>
      </c>
      <c r="C79" s="5">
        <f>XBZRLE_HBFDP_Murmur3!Q34</f>
        <v>182837.66666666666</v>
      </c>
      <c r="D79" s="5">
        <f>XBZRLE_HBFDP_Murmur3!R34</f>
        <v>3266296.3333333335</v>
      </c>
      <c r="E79" s="7">
        <f t="shared" si="9"/>
        <v>5.3009731331594152E-2</v>
      </c>
    </row>
    <row r="80" spans="1:8" x14ac:dyDescent="0.25">
      <c r="A80" s="5">
        <v>16384</v>
      </c>
      <c r="B80" s="5">
        <f>XBZRLE_HBFDP_Murmur3!E41</f>
        <v>86403</v>
      </c>
      <c r="C80" s="5">
        <f>XBZRLE_HBFDP_Murmur3!Q41</f>
        <v>207097.66666666666</v>
      </c>
      <c r="D80" s="5">
        <f>XBZRLE_HBFDP_Murmur3!R41</f>
        <v>4339528.333333333</v>
      </c>
      <c r="E80" s="7">
        <f t="shared" si="9"/>
        <v>4.5549747585718871E-2</v>
      </c>
    </row>
    <row r="81" spans="1:8" x14ac:dyDescent="0.25">
      <c r="A81" s="1"/>
      <c r="B81" s="1"/>
      <c r="C81" s="1"/>
      <c r="D81" s="1"/>
      <c r="E81" s="1"/>
    </row>
    <row r="82" spans="1:8" s="3" customFormat="1" x14ac:dyDescent="0.25">
      <c r="A82" s="2" t="s">
        <v>0</v>
      </c>
      <c r="B82" s="2" t="s">
        <v>14</v>
      </c>
      <c r="C82" s="2"/>
      <c r="D82" s="2"/>
      <c r="E82" s="2"/>
      <c r="G82" s="17"/>
      <c r="H82" s="17"/>
    </row>
    <row r="83" spans="1:8" s="3" customFormat="1" x14ac:dyDescent="0.25">
      <c r="A83" s="4" t="s">
        <v>2</v>
      </c>
      <c r="B83" s="4" t="s">
        <v>3</v>
      </c>
      <c r="C83" s="4" t="s">
        <v>4</v>
      </c>
      <c r="D83" s="4" t="s">
        <v>5</v>
      </c>
      <c r="E83" s="4" t="s">
        <v>47</v>
      </c>
      <c r="G83" s="2"/>
      <c r="H83" s="2"/>
    </row>
    <row r="84" spans="1:8" x14ac:dyDescent="0.25">
      <c r="A84" s="5">
        <v>1024</v>
      </c>
      <c r="B84" s="5">
        <f>Compress_HBFDP_SHA1!E6</f>
        <v>6678</v>
      </c>
      <c r="C84" s="5">
        <f>Compress_HBFDP_SHA1!Q6</f>
        <v>16133.666666666666</v>
      </c>
      <c r="D84" s="5">
        <f>Compress_HBFDP_SHA1!R6</f>
        <v>276905.33333333331</v>
      </c>
      <c r="E84" s="7">
        <f>C84/(C84+D84)</f>
        <v>5.5056380436278675E-2</v>
      </c>
      <c r="G84" s="1"/>
      <c r="H84" s="8"/>
    </row>
    <row r="85" spans="1:8" x14ac:dyDescent="0.25">
      <c r="A85" s="5">
        <v>2048</v>
      </c>
      <c r="B85" s="5">
        <f>Compress_HBFDP_SHA1!E13</f>
        <v>14309.333333333334</v>
      </c>
      <c r="C85" s="5">
        <f>Compress_HBFDP_SHA1!Q13</f>
        <v>38258.333333333336</v>
      </c>
      <c r="D85" s="5">
        <f>Compress_HBFDP_SHA1!R13</f>
        <v>561202.66666666663</v>
      </c>
      <c r="E85" s="7">
        <f t="shared" ref="E85:E89" si="10">C85/(C85+D85)</f>
        <v>6.3821221619643875E-2</v>
      </c>
      <c r="G85" s="1"/>
      <c r="H85" s="8"/>
    </row>
    <row r="86" spans="1:8" x14ac:dyDescent="0.25">
      <c r="A86" s="5">
        <v>4096</v>
      </c>
      <c r="B86" s="5">
        <f>Compress_HBFDP_SHA1!E20</f>
        <v>25769.333333333332</v>
      </c>
      <c r="C86" s="5">
        <f>Compress_HBFDP_SHA1!Q20</f>
        <v>113404.66666666667</v>
      </c>
      <c r="D86" s="5">
        <f>Compress_HBFDP_SHA1!R20</f>
        <v>1109956.6666666667</v>
      </c>
      <c r="E86" s="7">
        <f t="shared" si="10"/>
        <v>9.2699240671330674E-2</v>
      </c>
      <c r="G86" s="1"/>
      <c r="H86" s="8"/>
    </row>
    <row r="87" spans="1:8" x14ac:dyDescent="0.25">
      <c r="A87" s="5">
        <v>8192</v>
      </c>
      <c r="B87" s="5">
        <f>Compress_HBFDP_SHA1!E27</f>
        <v>43412.333333333336</v>
      </c>
      <c r="C87" s="5">
        <f>Compress_HBFDP_SHA1!Q27</f>
        <v>157243.66666666666</v>
      </c>
      <c r="D87" s="5">
        <f>Compress_HBFDP_SHA1!R27</f>
        <v>2174877</v>
      </c>
      <c r="E87" s="7">
        <f t="shared" si="10"/>
        <v>6.7425184688842579E-2</v>
      </c>
      <c r="G87" s="1"/>
      <c r="H87" s="8"/>
    </row>
    <row r="88" spans="1:8" x14ac:dyDescent="0.25">
      <c r="A88" s="5">
        <v>12288</v>
      </c>
      <c r="B88" s="5">
        <f>Compress_HBFDP_SHA1!E34</f>
        <v>62007.666666666664</v>
      </c>
      <c r="C88" s="5">
        <f>Compress_HBFDP_SHA1!Q34</f>
        <v>150246</v>
      </c>
      <c r="D88" s="5">
        <f>Compress_HBFDP_SHA1!R34</f>
        <v>3232311.3333333335</v>
      </c>
      <c r="E88" s="7">
        <f t="shared" si="10"/>
        <v>4.4417872394771921E-2</v>
      </c>
    </row>
    <row r="89" spans="1:8" x14ac:dyDescent="0.25">
      <c r="A89" s="5">
        <v>16384</v>
      </c>
      <c r="B89" s="5">
        <f>Compress_HBFDP_SHA1!E41</f>
        <v>80147.333333333328</v>
      </c>
      <c r="C89" s="5">
        <f>Compress_HBFDP_SHA1!Q41</f>
        <v>200302.66666666666</v>
      </c>
      <c r="D89" s="5">
        <f>Compress_HBFDP_SHA1!R41</f>
        <v>4297195.666666667</v>
      </c>
      <c r="E89" s="7">
        <f t="shared" si="10"/>
        <v>4.4536462677955406E-2</v>
      </c>
    </row>
    <row r="90" spans="1:8" x14ac:dyDescent="0.25">
      <c r="A90" s="1"/>
      <c r="B90" s="1"/>
      <c r="C90" s="1"/>
      <c r="D90" s="1"/>
      <c r="E90" s="1"/>
    </row>
    <row r="91" spans="1:8" s="3" customFormat="1" x14ac:dyDescent="0.25">
      <c r="A91" s="2" t="s">
        <v>0</v>
      </c>
      <c r="B91" s="2" t="s">
        <v>15</v>
      </c>
      <c r="C91" s="2"/>
      <c r="D91" s="2"/>
      <c r="E91" s="2"/>
      <c r="G91" s="17"/>
      <c r="H91" s="17"/>
    </row>
    <row r="92" spans="1:8" s="3" customFormat="1" x14ac:dyDescent="0.25">
      <c r="A92" s="4" t="s">
        <v>2</v>
      </c>
      <c r="B92" s="4" t="s">
        <v>3</v>
      </c>
      <c r="C92" s="4" t="s">
        <v>4</v>
      </c>
      <c r="D92" s="4" t="s">
        <v>5</v>
      </c>
      <c r="E92" s="4" t="s">
        <v>47</v>
      </c>
      <c r="G92" s="2"/>
      <c r="H92" s="2"/>
    </row>
    <row r="93" spans="1:8" x14ac:dyDescent="0.25">
      <c r="A93" s="5">
        <v>1024</v>
      </c>
      <c r="B93" s="5">
        <f>Compress_HBFDP_MD5!E6</f>
        <v>6360</v>
      </c>
      <c r="C93" s="5">
        <f>Compress_HBFDP_MD5!Q6</f>
        <v>15483.333333333334</v>
      </c>
      <c r="D93" s="5">
        <f>Compress_HBFDP_MD5!R6</f>
        <v>276959.66666666669</v>
      </c>
      <c r="E93" s="7">
        <f>C93/(C93+D93)</f>
        <v>5.2944790380803554E-2</v>
      </c>
      <c r="G93" s="1"/>
      <c r="H93" s="8"/>
    </row>
    <row r="94" spans="1:8" x14ac:dyDescent="0.25">
      <c r="A94" s="5">
        <v>2048</v>
      </c>
      <c r="B94" s="5">
        <f>Compress_HBFDP_MD5!E13</f>
        <v>13720</v>
      </c>
      <c r="C94" s="5">
        <f>Compress_HBFDP_MD5!Q13</f>
        <v>30778</v>
      </c>
      <c r="D94" s="5">
        <f>Compress_HBFDP_MD5!R13</f>
        <v>553749</v>
      </c>
      <c r="E94" s="7">
        <f t="shared" ref="E94:E98" si="11">C94/(C94+D94)</f>
        <v>5.2654539482350687E-2</v>
      </c>
      <c r="G94" s="1"/>
      <c r="H94" s="8"/>
    </row>
    <row r="95" spans="1:8" x14ac:dyDescent="0.25">
      <c r="A95" s="5">
        <v>4096</v>
      </c>
      <c r="B95" s="5">
        <f>Compress_HBFDP_MD5!E20</f>
        <v>24269.666666666668</v>
      </c>
      <c r="C95" s="5">
        <f>Compress_HBFDP_MD5!Q20</f>
        <v>96876.666666666672</v>
      </c>
      <c r="D95" s="5">
        <f>Compress_HBFDP_MD5!R20</f>
        <v>1099469.3333333333</v>
      </c>
      <c r="E95" s="7">
        <f t="shared" si="11"/>
        <v>8.097713091920454E-2</v>
      </c>
      <c r="G95" s="1"/>
      <c r="H95" s="8"/>
    </row>
    <row r="96" spans="1:8" x14ac:dyDescent="0.25">
      <c r="A96" s="5">
        <v>8192</v>
      </c>
      <c r="B96" s="5">
        <f>Compress_HBFDP_MD5!E27</f>
        <v>41654</v>
      </c>
      <c r="C96" s="5">
        <f>Compress_HBFDP_MD5!Q27</f>
        <v>97174.666666666672</v>
      </c>
      <c r="D96" s="5">
        <f>Compress_HBFDP_MD5!R27</f>
        <v>2164311</v>
      </c>
      <c r="E96" s="7">
        <f t="shared" si="11"/>
        <v>4.296939312903008E-2</v>
      </c>
      <c r="G96" s="1"/>
      <c r="H96" s="8"/>
    </row>
    <row r="97" spans="1:8" x14ac:dyDescent="0.25">
      <c r="A97" s="5">
        <v>12288</v>
      </c>
      <c r="B97" s="5">
        <f>Compress_HBFDP_MD5!E34</f>
        <v>57837.666666666664</v>
      </c>
      <c r="C97" s="5">
        <f>Compress_HBFDP_MD5!Q34</f>
        <v>137042</v>
      </c>
      <c r="D97" s="5">
        <f>Compress_HBFDP_MD5!R34</f>
        <v>3220752.3333333335</v>
      </c>
      <c r="E97" s="7">
        <f t="shared" si="11"/>
        <v>4.0813101219322245E-2</v>
      </c>
    </row>
    <row r="98" spans="1:8" x14ac:dyDescent="0.25">
      <c r="A98" s="5">
        <v>16384</v>
      </c>
      <c r="B98" s="5">
        <f>Compress_HBFDP_MD5!E41</f>
        <v>76345.666666666672</v>
      </c>
      <c r="C98" s="5">
        <f>Compress_HBFDP_MD5!Q41</f>
        <v>169075</v>
      </c>
      <c r="D98" s="5">
        <f>Compress_HBFDP_MD5!R41</f>
        <v>4292326.666666667</v>
      </c>
      <c r="E98" s="7">
        <f t="shared" si="11"/>
        <v>3.7897282655189456E-2</v>
      </c>
    </row>
    <row r="99" spans="1:8" x14ac:dyDescent="0.25">
      <c r="A99" s="1"/>
      <c r="B99" s="1"/>
      <c r="C99" s="1"/>
      <c r="D99" s="1"/>
      <c r="E99" s="1"/>
    </row>
    <row r="100" spans="1:8" s="3" customFormat="1" x14ac:dyDescent="0.25">
      <c r="A100" s="2" t="s">
        <v>0</v>
      </c>
      <c r="B100" s="2" t="s">
        <v>16</v>
      </c>
      <c r="C100" s="2"/>
      <c r="D100" s="2"/>
      <c r="E100" s="2"/>
      <c r="G100" s="17"/>
      <c r="H100" s="17"/>
    </row>
    <row r="101" spans="1:8" s="3" customFormat="1" x14ac:dyDescent="0.25">
      <c r="A101" s="4" t="s">
        <v>2</v>
      </c>
      <c r="B101" s="4" t="s">
        <v>3</v>
      </c>
      <c r="C101" s="4" t="s">
        <v>4</v>
      </c>
      <c r="D101" s="4" t="s">
        <v>5</v>
      </c>
      <c r="E101" s="4" t="s">
        <v>47</v>
      </c>
      <c r="G101" s="2"/>
      <c r="H101" s="2"/>
    </row>
    <row r="102" spans="1:8" x14ac:dyDescent="0.25">
      <c r="A102" s="5">
        <v>1024</v>
      </c>
      <c r="B102" s="5">
        <f>Compress_HBFDP_Murmur3!E6</f>
        <v>6485</v>
      </c>
      <c r="C102" s="5">
        <f>Compress_HBFDP_Murmur3!Q6</f>
        <v>16897.333333333332</v>
      </c>
      <c r="D102" s="5">
        <f>Compress_HBFDP_Murmur3!R6</f>
        <v>277345.33333333331</v>
      </c>
      <c r="E102" s="7">
        <f>C102/(C102+D102)</f>
        <v>5.7426523232524632E-2</v>
      </c>
      <c r="G102" s="1"/>
      <c r="H102" s="8"/>
    </row>
    <row r="103" spans="1:8" x14ac:dyDescent="0.25">
      <c r="A103" s="5">
        <v>2048</v>
      </c>
      <c r="B103" s="5">
        <f>Compress_HBFDP_Murmur3!E13</f>
        <v>14119.333333333334</v>
      </c>
      <c r="C103" s="5">
        <f>Compress_HBFDP_Murmur3!Q13</f>
        <v>37713.333333333336</v>
      </c>
      <c r="D103" s="5">
        <f>Compress_HBFDP_Murmur3!R13</f>
        <v>556185.66666666663</v>
      </c>
      <c r="E103" s="7">
        <f t="shared" ref="E103:E107" si="12">C103/(C103+D103)</f>
        <v>6.3501257508992839E-2</v>
      </c>
      <c r="G103" s="1"/>
      <c r="H103" s="8"/>
    </row>
    <row r="104" spans="1:8" x14ac:dyDescent="0.25">
      <c r="A104" s="5">
        <v>4096</v>
      </c>
      <c r="B104" s="5">
        <f>Compress_HBFDP_Murmur3!E20</f>
        <v>24918</v>
      </c>
      <c r="C104" s="5">
        <f>Compress_HBFDP_Murmur3!Q20</f>
        <v>65366</v>
      </c>
      <c r="D104" s="5">
        <f>Compress_HBFDP_Murmur3!R20</f>
        <v>1102997</v>
      </c>
      <c r="E104" s="7">
        <f t="shared" si="12"/>
        <v>5.5946653565715453E-2</v>
      </c>
      <c r="G104" s="1"/>
      <c r="H104" s="8"/>
    </row>
    <row r="105" spans="1:8" x14ac:dyDescent="0.25">
      <c r="A105" s="5">
        <v>8192</v>
      </c>
      <c r="B105" s="5">
        <f>Compress_HBFDP_Murmur3!E27</f>
        <v>44210.666666666664</v>
      </c>
      <c r="C105" s="5">
        <f>Compress_HBFDP_Murmur3!Q27</f>
        <v>114266.33333333333</v>
      </c>
      <c r="D105" s="5">
        <f>Compress_HBFDP_Murmur3!R27</f>
        <v>2164850.3333333335</v>
      </c>
      <c r="E105" s="7">
        <f t="shared" si="12"/>
        <v>5.0136236992402015E-2</v>
      </c>
      <c r="G105" s="1"/>
      <c r="H105" s="8"/>
    </row>
    <row r="106" spans="1:8" x14ac:dyDescent="0.25">
      <c r="A106" s="5">
        <v>12288</v>
      </c>
      <c r="B106" s="5">
        <f>Compress_HBFDP_Murmur3!E34</f>
        <v>60867.333333333336</v>
      </c>
      <c r="C106" s="5">
        <f>Compress_HBFDP_Murmur3!Q34</f>
        <v>121436</v>
      </c>
      <c r="D106" s="5">
        <f>Compress_HBFDP_Murmur3!R34</f>
        <v>3211530</v>
      </c>
      <c r="E106" s="7">
        <f t="shared" si="12"/>
        <v>3.643481511662585E-2</v>
      </c>
    </row>
    <row r="107" spans="1:8" x14ac:dyDescent="0.25">
      <c r="A107" s="5">
        <v>16384</v>
      </c>
      <c r="B107" s="5">
        <f>Compress_HBFDP_Murmur3!E41</f>
        <v>80220.333333333328</v>
      </c>
      <c r="C107" s="5">
        <f>Compress_HBFDP_Murmur3!Q41</f>
        <v>210727</v>
      </c>
      <c r="D107" s="5">
        <f>Compress_HBFDP_Murmur3!R41</f>
        <v>4302455</v>
      </c>
      <c r="E107" s="7">
        <f t="shared" si="12"/>
        <v>4.6691447408945617E-2</v>
      </c>
    </row>
    <row r="108" spans="1:8" x14ac:dyDescent="0.25">
      <c r="A108" s="1"/>
      <c r="B108" s="1"/>
      <c r="C108" s="1"/>
      <c r="D108" s="1"/>
      <c r="E108" s="1"/>
    </row>
  </sheetData>
  <mergeCells count="12">
    <mergeCell ref="G91:H91"/>
    <mergeCell ref="G100:H100"/>
    <mergeCell ref="G28:H28"/>
    <mergeCell ref="G19:H19"/>
    <mergeCell ref="G37:H37"/>
    <mergeCell ref="G46:H46"/>
    <mergeCell ref="G55:H55"/>
    <mergeCell ref="G9:R9"/>
    <mergeCell ref="G2:O2"/>
    <mergeCell ref="G64:H64"/>
    <mergeCell ref="G73:H73"/>
    <mergeCell ref="G82:H8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1"/>
  <sheetViews>
    <sheetView topLeftCell="A19" workbookViewId="0">
      <selection activeCell="C24" sqref="C24"/>
    </sheetView>
  </sheetViews>
  <sheetFormatPr defaultRowHeight="15" x14ac:dyDescent="0.25"/>
  <cols>
    <col min="1" max="1" width="12" customWidth="1"/>
    <col min="2" max="6" width="19" customWidth="1"/>
    <col min="7" max="7" width="23" customWidth="1"/>
    <col min="8" max="8" width="22" customWidth="1"/>
    <col min="9" max="12" width="19" customWidth="1"/>
    <col min="13" max="13" width="22" customWidth="1"/>
    <col min="14" max="16" width="19" customWidth="1"/>
    <col min="17" max="17" width="24" customWidth="1"/>
    <col min="18" max="18" width="30" customWidth="1"/>
  </cols>
  <sheetData>
    <row r="1" spans="1:18" x14ac:dyDescent="0.25">
      <c r="A1" s="1" t="s">
        <v>17</v>
      </c>
      <c r="B1" s="1">
        <v>1024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3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4</v>
      </c>
      <c r="R2" s="1" t="s">
        <v>5</v>
      </c>
    </row>
    <row r="3" spans="1:18" x14ac:dyDescent="0.25">
      <c r="A3" s="1">
        <v>1</v>
      </c>
      <c r="B3" s="1">
        <v>3</v>
      </c>
      <c r="C3" s="1">
        <v>2</v>
      </c>
      <c r="D3" s="1">
        <v>387</v>
      </c>
      <c r="E3" s="1">
        <v>10551</v>
      </c>
      <c r="F3" s="1">
        <v>1091379200</v>
      </c>
      <c r="G3" s="1">
        <v>0</v>
      </c>
      <c r="H3" s="1">
        <v>5</v>
      </c>
      <c r="I3" s="1">
        <v>0</v>
      </c>
      <c r="J3" s="1">
        <v>909.42470603848699</v>
      </c>
      <c r="K3" s="1">
        <v>1198977769</v>
      </c>
      <c r="L3" s="1">
        <v>11643</v>
      </c>
      <c r="M3" s="1">
        <v>0</v>
      </c>
      <c r="N3" s="1">
        <v>0</v>
      </c>
      <c r="O3" s="1">
        <v>1196535808</v>
      </c>
      <c r="P3" s="1">
        <v>292123</v>
      </c>
      <c r="Q3" s="1">
        <v>21747</v>
      </c>
      <c r="R3" s="1">
        <v>303766</v>
      </c>
    </row>
    <row r="4" spans="1:18" x14ac:dyDescent="0.25">
      <c r="A4" s="1">
        <v>2</v>
      </c>
      <c r="B4" s="1">
        <v>3</v>
      </c>
      <c r="C4" s="1">
        <v>2</v>
      </c>
      <c r="D4" s="1">
        <v>78</v>
      </c>
      <c r="E4" s="1">
        <v>10553</v>
      </c>
      <c r="F4" s="1">
        <v>1091379200</v>
      </c>
      <c r="G4" s="1">
        <v>0</v>
      </c>
      <c r="H4" s="1">
        <v>5</v>
      </c>
      <c r="I4" s="1">
        <v>0</v>
      </c>
      <c r="J4" s="1">
        <v>922.92041171452934</v>
      </c>
      <c r="K4" s="1">
        <v>1217004274</v>
      </c>
      <c r="L4" s="1">
        <v>9100</v>
      </c>
      <c r="M4" s="1">
        <v>0</v>
      </c>
      <c r="N4" s="1">
        <v>0</v>
      </c>
      <c r="O4" s="1">
        <v>1214550016</v>
      </c>
      <c r="P4" s="1">
        <v>296521</v>
      </c>
      <c r="Q4" s="1">
        <v>22461</v>
      </c>
      <c r="R4" s="1">
        <v>305621</v>
      </c>
    </row>
    <row r="5" spans="1:18" x14ac:dyDescent="0.25">
      <c r="A5" s="1">
        <v>3</v>
      </c>
      <c r="B5" s="1">
        <v>3</v>
      </c>
      <c r="C5" s="1">
        <v>2</v>
      </c>
      <c r="D5" s="1">
        <v>95</v>
      </c>
      <c r="E5" s="1">
        <v>10553</v>
      </c>
      <c r="F5" s="1">
        <v>1091379200</v>
      </c>
      <c r="G5" s="1">
        <v>0</v>
      </c>
      <c r="H5" s="1">
        <v>5</v>
      </c>
      <c r="I5" s="1">
        <v>0</v>
      </c>
      <c r="J5" s="1">
        <v>913.92338697753769</v>
      </c>
      <c r="K5" s="1">
        <v>1205138323</v>
      </c>
      <c r="L5" s="1">
        <v>11693</v>
      </c>
      <c r="M5" s="1">
        <v>0</v>
      </c>
      <c r="N5" s="1">
        <v>0</v>
      </c>
      <c r="O5" s="1">
        <v>1202683904</v>
      </c>
      <c r="P5" s="1">
        <v>293624</v>
      </c>
      <c r="Q5" s="1">
        <v>21497</v>
      </c>
      <c r="R5" s="1">
        <v>305317</v>
      </c>
    </row>
    <row r="6" spans="1:18" x14ac:dyDescent="0.25">
      <c r="A6" s="1" t="s">
        <v>33</v>
      </c>
      <c r="B6" s="1">
        <f t="shared" ref="B6:R6" si="0">AVERAGE(B3:B5)</f>
        <v>3</v>
      </c>
      <c r="C6" s="1">
        <f t="shared" si="0"/>
        <v>2</v>
      </c>
      <c r="D6" s="1">
        <f t="shared" si="0"/>
        <v>186.66666666666666</v>
      </c>
      <c r="E6" s="1">
        <f t="shared" si="0"/>
        <v>10552.333333333334</v>
      </c>
      <c r="F6" s="1">
        <f t="shared" si="0"/>
        <v>1091379200</v>
      </c>
      <c r="G6" s="1">
        <f t="shared" si="0"/>
        <v>0</v>
      </c>
      <c r="H6" s="1">
        <f t="shared" si="0"/>
        <v>5</v>
      </c>
      <c r="I6" s="1">
        <f t="shared" si="0"/>
        <v>0</v>
      </c>
      <c r="J6" s="1">
        <f t="shared" si="0"/>
        <v>915.42283491018463</v>
      </c>
      <c r="K6" s="1">
        <f t="shared" si="0"/>
        <v>1207040122</v>
      </c>
      <c r="L6" s="1">
        <f t="shared" si="0"/>
        <v>10812</v>
      </c>
      <c r="M6" s="1">
        <f t="shared" si="0"/>
        <v>0</v>
      </c>
      <c r="N6" s="1">
        <f t="shared" si="0"/>
        <v>0</v>
      </c>
      <c r="O6" s="1">
        <f t="shared" si="0"/>
        <v>1204589909.3333333</v>
      </c>
      <c r="P6" s="1">
        <f t="shared" si="0"/>
        <v>294089.33333333331</v>
      </c>
      <c r="Q6" s="1">
        <f t="shared" si="0"/>
        <v>21901.666666666668</v>
      </c>
      <c r="R6" s="1">
        <f t="shared" si="0"/>
        <v>304901.33333333331</v>
      </c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 t="s">
        <v>17</v>
      </c>
      <c r="B8" s="1">
        <v>2048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3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28</v>
      </c>
      <c r="M9" s="1" t="s">
        <v>29</v>
      </c>
      <c r="N9" s="1" t="s">
        <v>30</v>
      </c>
      <c r="O9" s="1" t="s">
        <v>31</v>
      </c>
      <c r="P9" s="1" t="s">
        <v>32</v>
      </c>
      <c r="Q9" s="1" t="s">
        <v>4</v>
      </c>
      <c r="R9" s="1" t="s">
        <v>5</v>
      </c>
    </row>
    <row r="10" spans="1:18" x14ac:dyDescent="0.25">
      <c r="A10" s="1">
        <v>1</v>
      </c>
      <c r="B10" s="1">
        <v>4</v>
      </c>
      <c r="C10" s="1">
        <v>2</v>
      </c>
      <c r="D10" s="1">
        <v>105</v>
      </c>
      <c r="E10" s="1">
        <v>22722</v>
      </c>
      <c r="F10" s="1">
        <v>2165121024</v>
      </c>
      <c r="G10" s="1">
        <v>0</v>
      </c>
      <c r="H10" s="1">
        <v>6</v>
      </c>
      <c r="I10" s="1">
        <v>0</v>
      </c>
      <c r="J10" s="1">
        <v>920.6130940140846</v>
      </c>
      <c r="K10" s="1">
        <v>2614328777</v>
      </c>
      <c r="L10" s="1">
        <v>12142</v>
      </c>
      <c r="M10" s="1">
        <v>0</v>
      </c>
      <c r="N10" s="1">
        <v>0</v>
      </c>
      <c r="O10" s="1">
        <v>2609123328</v>
      </c>
      <c r="P10" s="1">
        <v>636993</v>
      </c>
      <c r="Q10" s="1">
        <v>59393</v>
      </c>
      <c r="R10" s="1">
        <v>649135</v>
      </c>
    </row>
    <row r="11" spans="1:18" x14ac:dyDescent="0.25">
      <c r="A11" s="1">
        <v>2</v>
      </c>
      <c r="B11" s="1">
        <v>3</v>
      </c>
      <c r="C11" s="1">
        <v>2</v>
      </c>
      <c r="D11" s="1">
        <v>224</v>
      </c>
      <c r="E11" s="1">
        <v>22545</v>
      </c>
      <c r="F11" s="1">
        <v>2165121024</v>
      </c>
      <c r="G11" s="1">
        <v>0</v>
      </c>
      <c r="H11" s="1">
        <v>5</v>
      </c>
      <c r="I11" s="1">
        <v>0</v>
      </c>
      <c r="J11" s="1">
        <v>912.78118830679148</v>
      </c>
      <c r="K11" s="1">
        <v>2571890907</v>
      </c>
      <c r="L11" s="1">
        <v>12320</v>
      </c>
      <c r="M11" s="1">
        <v>0</v>
      </c>
      <c r="N11" s="1">
        <v>0</v>
      </c>
      <c r="O11" s="1">
        <v>2566766592</v>
      </c>
      <c r="P11" s="1">
        <v>626652</v>
      </c>
      <c r="Q11" s="1">
        <v>52337</v>
      </c>
      <c r="R11" s="1">
        <v>638972</v>
      </c>
    </row>
    <row r="12" spans="1:18" x14ac:dyDescent="0.25">
      <c r="A12" s="1">
        <v>3</v>
      </c>
      <c r="B12" s="1">
        <v>3</v>
      </c>
      <c r="C12" s="1">
        <v>2</v>
      </c>
      <c r="D12" s="1">
        <v>181</v>
      </c>
      <c r="E12" s="1">
        <v>22887</v>
      </c>
      <c r="F12" s="1">
        <v>2165121024</v>
      </c>
      <c r="G12" s="1">
        <v>0</v>
      </c>
      <c r="H12" s="1">
        <v>5</v>
      </c>
      <c r="I12" s="1">
        <v>0</v>
      </c>
      <c r="J12" s="1">
        <v>913.3044722744155</v>
      </c>
      <c r="K12" s="1">
        <v>2612409222</v>
      </c>
      <c r="L12" s="1">
        <v>12267</v>
      </c>
      <c r="M12" s="1">
        <v>0</v>
      </c>
      <c r="N12" s="1">
        <v>0</v>
      </c>
      <c r="O12" s="1">
        <v>2607206400</v>
      </c>
      <c r="P12" s="1">
        <v>636525</v>
      </c>
      <c r="Q12" s="1">
        <v>57934</v>
      </c>
      <c r="R12" s="1">
        <v>648792</v>
      </c>
    </row>
    <row r="13" spans="1:18" x14ac:dyDescent="0.25">
      <c r="A13" s="1" t="s">
        <v>33</v>
      </c>
      <c r="B13" s="1">
        <f t="shared" ref="B13:R13" si="1">AVERAGE(B10:B12)</f>
        <v>3.3333333333333335</v>
      </c>
      <c r="C13" s="1">
        <f t="shared" si="1"/>
        <v>2</v>
      </c>
      <c r="D13" s="1">
        <f t="shared" si="1"/>
        <v>170</v>
      </c>
      <c r="E13" s="1">
        <f t="shared" si="1"/>
        <v>22718</v>
      </c>
      <c r="F13" s="1">
        <f t="shared" si="1"/>
        <v>2165121024</v>
      </c>
      <c r="G13" s="1">
        <f t="shared" si="1"/>
        <v>0</v>
      </c>
      <c r="H13" s="1">
        <f t="shared" si="1"/>
        <v>5.333333333333333</v>
      </c>
      <c r="I13" s="1">
        <f t="shared" si="1"/>
        <v>0</v>
      </c>
      <c r="J13" s="1">
        <f t="shared" si="1"/>
        <v>915.5662515317639</v>
      </c>
      <c r="K13" s="1">
        <f t="shared" si="1"/>
        <v>2599542968.6666665</v>
      </c>
      <c r="L13" s="1">
        <f t="shared" si="1"/>
        <v>12243</v>
      </c>
      <c r="M13" s="1">
        <f t="shared" si="1"/>
        <v>0</v>
      </c>
      <c r="N13" s="1">
        <f t="shared" si="1"/>
        <v>0</v>
      </c>
      <c r="O13" s="1">
        <f t="shared" si="1"/>
        <v>2594365440</v>
      </c>
      <c r="P13" s="1">
        <f t="shared" si="1"/>
        <v>633390</v>
      </c>
      <c r="Q13" s="1">
        <f t="shared" si="1"/>
        <v>56554.666666666664</v>
      </c>
      <c r="R13" s="1">
        <f t="shared" si="1"/>
        <v>645633</v>
      </c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 t="s">
        <v>17</v>
      </c>
      <c r="B15" s="1">
        <v>4096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3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26</v>
      </c>
      <c r="K16" s="1" t="s">
        <v>27</v>
      </c>
      <c r="L16" s="1" t="s">
        <v>28</v>
      </c>
      <c r="M16" s="1" t="s">
        <v>29</v>
      </c>
      <c r="N16" s="1" t="s">
        <v>30</v>
      </c>
      <c r="O16" s="1" t="s">
        <v>31</v>
      </c>
      <c r="P16" s="1" t="s">
        <v>32</v>
      </c>
      <c r="Q16" s="1" t="s">
        <v>4</v>
      </c>
      <c r="R16" s="1" t="s">
        <v>5</v>
      </c>
    </row>
    <row r="17" spans="1:18" x14ac:dyDescent="0.25">
      <c r="A17" s="1">
        <v>1</v>
      </c>
      <c r="B17" s="1">
        <v>5</v>
      </c>
      <c r="C17" s="1">
        <v>3</v>
      </c>
      <c r="D17" s="1">
        <v>151</v>
      </c>
      <c r="E17" s="1">
        <v>40286</v>
      </c>
      <c r="F17" s="1">
        <v>4312604672</v>
      </c>
      <c r="G17" s="1">
        <v>0</v>
      </c>
      <c r="H17" s="1">
        <v>7</v>
      </c>
      <c r="I17" s="1">
        <v>0</v>
      </c>
      <c r="J17" s="1">
        <v>833.07345014025771</v>
      </c>
      <c r="K17" s="1">
        <v>4194624788</v>
      </c>
      <c r="L17" s="1">
        <v>321030</v>
      </c>
      <c r="M17" s="1">
        <v>0</v>
      </c>
      <c r="N17" s="1">
        <v>0</v>
      </c>
      <c r="O17" s="1">
        <v>4183564288</v>
      </c>
      <c r="P17" s="1">
        <v>1021378</v>
      </c>
      <c r="Q17" s="1">
        <v>187643</v>
      </c>
      <c r="R17" s="1">
        <v>1342408</v>
      </c>
    </row>
    <row r="18" spans="1:18" x14ac:dyDescent="0.25">
      <c r="A18" s="1">
        <v>2</v>
      </c>
      <c r="B18" s="1">
        <v>6</v>
      </c>
      <c r="C18" s="1">
        <v>3</v>
      </c>
      <c r="D18" s="1">
        <v>134</v>
      </c>
      <c r="E18" s="1">
        <v>39424</v>
      </c>
      <c r="F18" s="1">
        <v>4312604672</v>
      </c>
      <c r="G18" s="1">
        <v>0</v>
      </c>
      <c r="H18" s="1">
        <v>8</v>
      </c>
      <c r="I18" s="1">
        <v>0</v>
      </c>
      <c r="J18" s="1">
        <v>824.21224342355595</v>
      </c>
      <c r="K18" s="1">
        <v>4061196394</v>
      </c>
      <c r="L18" s="1">
        <v>352132</v>
      </c>
      <c r="M18" s="1">
        <v>0</v>
      </c>
      <c r="N18" s="1">
        <v>0</v>
      </c>
      <c r="O18" s="1">
        <v>4050116608</v>
      </c>
      <c r="P18" s="1">
        <v>988798</v>
      </c>
      <c r="Q18" s="1">
        <v>188061</v>
      </c>
      <c r="R18" s="1">
        <v>1340930</v>
      </c>
    </row>
    <row r="19" spans="1:18" x14ac:dyDescent="0.25">
      <c r="A19" s="1">
        <v>3</v>
      </c>
      <c r="B19" s="1">
        <v>6</v>
      </c>
      <c r="C19" s="1">
        <v>3</v>
      </c>
      <c r="D19" s="1">
        <v>152</v>
      </c>
      <c r="E19" s="1">
        <v>40524</v>
      </c>
      <c r="F19" s="1">
        <v>4312604672</v>
      </c>
      <c r="G19" s="1">
        <v>0</v>
      </c>
      <c r="H19" s="1">
        <v>8</v>
      </c>
      <c r="I19" s="1">
        <v>0</v>
      </c>
      <c r="J19" s="1">
        <v>829.13043014733103</v>
      </c>
      <c r="K19" s="1">
        <v>4199436808</v>
      </c>
      <c r="L19" s="1">
        <v>327650</v>
      </c>
      <c r="M19" s="1">
        <v>0</v>
      </c>
      <c r="N19" s="1">
        <v>0</v>
      </c>
      <c r="O19" s="1">
        <v>4188307456</v>
      </c>
      <c r="P19" s="1">
        <v>1022536</v>
      </c>
      <c r="Q19" s="1">
        <v>192908</v>
      </c>
      <c r="R19" s="1">
        <v>1350186</v>
      </c>
    </row>
    <row r="20" spans="1:18" x14ac:dyDescent="0.25">
      <c r="A20" s="1" t="s">
        <v>33</v>
      </c>
      <c r="B20" s="1">
        <f t="shared" ref="B20:R20" si="2">AVERAGE(B17:B19)</f>
        <v>5.666666666666667</v>
      </c>
      <c r="C20" s="1">
        <f t="shared" si="2"/>
        <v>3</v>
      </c>
      <c r="D20" s="1">
        <f t="shared" si="2"/>
        <v>145.66666666666666</v>
      </c>
      <c r="E20" s="1">
        <f t="shared" si="2"/>
        <v>40078</v>
      </c>
      <c r="F20" s="1">
        <f t="shared" si="2"/>
        <v>4312604672</v>
      </c>
      <c r="G20" s="1">
        <f t="shared" si="2"/>
        <v>0</v>
      </c>
      <c r="H20" s="1">
        <f t="shared" si="2"/>
        <v>7.666666666666667</v>
      </c>
      <c r="I20" s="1">
        <f t="shared" si="2"/>
        <v>0</v>
      </c>
      <c r="J20" s="1">
        <f t="shared" si="2"/>
        <v>828.80537457038156</v>
      </c>
      <c r="K20" s="1">
        <f t="shared" si="2"/>
        <v>4151752663.3333335</v>
      </c>
      <c r="L20" s="1">
        <f t="shared" si="2"/>
        <v>333604</v>
      </c>
      <c r="M20" s="1">
        <f t="shared" si="2"/>
        <v>0</v>
      </c>
      <c r="N20" s="1">
        <f t="shared" si="2"/>
        <v>0</v>
      </c>
      <c r="O20" s="1">
        <f t="shared" si="2"/>
        <v>4140662784</v>
      </c>
      <c r="P20" s="1">
        <f t="shared" si="2"/>
        <v>1010904</v>
      </c>
      <c r="Q20" s="1">
        <f t="shared" si="2"/>
        <v>189537.33333333334</v>
      </c>
      <c r="R20" s="1">
        <f t="shared" si="2"/>
        <v>1344508</v>
      </c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17</v>
      </c>
      <c r="B22" s="1">
        <v>8192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 s="1" t="s">
        <v>21</v>
      </c>
      <c r="E23" s="1" t="s">
        <v>3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  <c r="N23" s="1" t="s">
        <v>30</v>
      </c>
      <c r="O23" s="1" t="s">
        <v>31</v>
      </c>
      <c r="P23" s="1" t="s">
        <v>32</v>
      </c>
      <c r="Q23" s="1" t="s">
        <v>4</v>
      </c>
      <c r="R23" s="1" t="s">
        <v>5</v>
      </c>
    </row>
    <row r="24" spans="1:18" x14ac:dyDescent="0.25">
      <c r="A24" s="1">
        <v>1</v>
      </c>
      <c r="B24" s="1">
        <v>6</v>
      </c>
      <c r="C24" s="1">
        <v>5</v>
      </c>
      <c r="D24" s="1">
        <v>142</v>
      </c>
      <c r="E24" s="1">
        <v>56752</v>
      </c>
      <c r="F24" s="1">
        <v>8607571968</v>
      </c>
      <c r="G24" s="1">
        <v>0</v>
      </c>
      <c r="H24" s="1">
        <v>8</v>
      </c>
      <c r="I24" s="1">
        <v>0</v>
      </c>
      <c r="J24" s="1">
        <v>663.19564001621234</v>
      </c>
      <c r="K24" s="1">
        <v>4704082911</v>
      </c>
      <c r="L24" s="1">
        <v>1340172</v>
      </c>
      <c r="M24" s="1">
        <v>0</v>
      </c>
      <c r="N24" s="1">
        <v>0</v>
      </c>
      <c r="O24" s="1">
        <v>4682874880</v>
      </c>
      <c r="P24" s="1">
        <v>1143280</v>
      </c>
      <c r="Q24" s="1">
        <v>260673</v>
      </c>
      <c r="R24" s="1">
        <v>2483452</v>
      </c>
    </row>
    <row r="25" spans="1:18" x14ac:dyDescent="0.25">
      <c r="A25" s="1">
        <v>2</v>
      </c>
      <c r="B25" s="1">
        <v>5</v>
      </c>
      <c r="C25" s="1">
        <v>4</v>
      </c>
      <c r="D25" s="1">
        <v>158</v>
      </c>
      <c r="E25" s="1">
        <v>56022</v>
      </c>
      <c r="F25" s="1">
        <v>8607571968</v>
      </c>
      <c r="G25" s="1">
        <v>0</v>
      </c>
      <c r="H25" s="1">
        <v>7</v>
      </c>
      <c r="I25" s="1">
        <v>0</v>
      </c>
      <c r="J25" s="1">
        <v>632.85634003356063</v>
      </c>
      <c r="K25" s="1">
        <v>4431205871</v>
      </c>
      <c r="L25" s="1">
        <v>1348609</v>
      </c>
      <c r="M25" s="1">
        <v>0</v>
      </c>
      <c r="N25" s="1">
        <v>0</v>
      </c>
      <c r="O25" s="1">
        <v>4410454016</v>
      </c>
      <c r="P25" s="1">
        <v>1076771</v>
      </c>
      <c r="Q25" s="1">
        <v>192787</v>
      </c>
      <c r="R25" s="1">
        <v>2425380</v>
      </c>
    </row>
    <row r="26" spans="1:18" x14ac:dyDescent="0.25">
      <c r="A26" s="1">
        <v>3</v>
      </c>
      <c r="B26" s="1">
        <v>5</v>
      </c>
      <c r="C26" s="1">
        <v>4</v>
      </c>
      <c r="D26" s="1">
        <v>176</v>
      </c>
      <c r="E26" s="1">
        <v>56522</v>
      </c>
      <c r="F26" s="1">
        <v>8607571968</v>
      </c>
      <c r="G26" s="1">
        <v>0</v>
      </c>
      <c r="H26" s="1">
        <v>7</v>
      </c>
      <c r="I26" s="1">
        <v>0</v>
      </c>
      <c r="J26" s="1">
        <v>655.9716093280017</v>
      </c>
      <c r="K26" s="1">
        <v>4634062991</v>
      </c>
      <c r="L26" s="1">
        <v>1215969</v>
      </c>
      <c r="M26" s="1">
        <v>0</v>
      </c>
      <c r="N26" s="1">
        <v>0</v>
      </c>
      <c r="O26" s="1">
        <v>4614107136</v>
      </c>
      <c r="P26" s="1">
        <v>1126491</v>
      </c>
      <c r="Q26" s="1">
        <v>108211</v>
      </c>
      <c r="R26" s="1">
        <v>2342460</v>
      </c>
    </row>
    <row r="27" spans="1:18" x14ac:dyDescent="0.25">
      <c r="A27" s="1" t="s">
        <v>33</v>
      </c>
      <c r="B27" s="1">
        <f t="shared" ref="B27:R27" si="3">AVERAGE(B24:B26)</f>
        <v>5.333333333333333</v>
      </c>
      <c r="C27" s="1">
        <f t="shared" si="3"/>
        <v>4.333333333333333</v>
      </c>
      <c r="D27" s="1">
        <f t="shared" si="3"/>
        <v>158.66666666666666</v>
      </c>
      <c r="E27" s="1">
        <f t="shared" si="3"/>
        <v>56432</v>
      </c>
      <c r="F27" s="1">
        <f t="shared" si="3"/>
        <v>8607571968</v>
      </c>
      <c r="G27" s="1">
        <f t="shared" si="3"/>
        <v>0</v>
      </c>
      <c r="H27" s="1">
        <f t="shared" si="3"/>
        <v>7.333333333333333</v>
      </c>
      <c r="I27" s="1">
        <f t="shared" si="3"/>
        <v>0</v>
      </c>
      <c r="J27" s="1">
        <f t="shared" si="3"/>
        <v>650.67452979259156</v>
      </c>
      <c r="K27" s="1">
        <f t="shared" si="3"/>
        <v>4589783924.333333</v>
      </c>
      <c r="L27" s="1">
        <f t="shared" si="3"/>
        <v>1301583.3333333333</v>
      </c>
      <c r="M27" s="1">
        <f t="shared" si="3"/>
        <v>0</v>
      </c>
      <c r="N27" s="1">
        <f t="shared" si="3"/>
        <v>0</v>
      </c>
      <c r="O27" s="1">
        <f t="shared" si="3"/>
        <v>4569145344</v>
      </c>
      <c r="P27" s="1">
        <f t="shared" si="3"/>
        <v>1115514</v>
      </c>
      <c r="Q27" s="1">
        <f t="shared" si="3"/>
        <v>187223.66666666666</v>
      </c>
      <c r="R27" s="1">
        <f t="shared" si="3"/>
        <v>2417097.3333333335</v>
      </c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 t="s">
        <v>17</v>
      </c>
      <c r="B29" s="1">
        <v>12288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 s="1" t="s">
        <v>21</v>
      </c>
      <c r="E30" s="1" t="s">
        <v>3</v>
      </c>
      <c r="F30" s="1" t="s">
        <v>22</v>
      </c>
      <c r="G30" s="1" t="s">
        <v>23</v>
      </c>
      <c r="H30" s="1" t="s">
        <v>24</v>
      </c>
      <c r="I30" s="1" t="s">
        <v>25</v>
      </c>
      <c r="J30" s="1" t="s">
        <v>26</v>
      </c>
      <c r="K30" s="1" t="s">
        <v>27</v>
      </c>
      <c r="L30" s="1" t="s">
        <v>28</v>
      </c>
      <c r="M30" s="1" t="s">
        <v>29</v>
      </c>
      <c r="N30" s="1" t="s">
        <v>30</v>
      </c>
      <c r="O30" s="1" t="s">
        <v>31</v>
      </c>
      <c r="P30" s="1" t="s">
        <v>32</v>
      </c>
      <c r="Q30" s="1" t="s">
        <v>4</v>
      </c>
      <c r="R30" s="1" t="s">
        <v>5</v>
      </c>
    </row>
    <row r="31" spans="1:18" x14ac:dyDescent="0.25">
      <c r="A31" s="1">
        <v>1</v>
      </c>
      <c r="B31" s="1">
        <v>8</v>
      </c>
      <c r="C31" s="1">
        <v>6</v>
      </c>
      <c r="D31" s="1">
        <v>176</v>
      </c>
      <c r="E31" s="1">
        <v>75352</v>
      </c>
      <c r="F31" s="1">
        <v>12902539264</v>
      </c>
      <c r="G31" s="1">
        <v>0</v>
      </c>
      <c r="H31" s="1">
        <v>10</v>
      </c>
      <c r="I31" s="1">
        <v>0</v>
      </c>
      <c r="J31" s="1">
        <v>609.73574729912673</v>
      </c>
      <c r="K31" s="1">
        <v>5742431188</v>
      </c>
      <c r="L31" s="1">
        <v>2258937</v>
      </c>
      <c r="M31" s="1">
        <v>0</v>
      </c>
      <c r="N31" s="1">
        <v>0</v>
      </c>
      <c r="O31" s="1">
        <v>5710946304</v>
      </c>
      <c r="P31" s="1">
        <v>1394274</v>
      </c>
      <c r="Q31" s="1">
        <v>349565</v>
      </c>
      <c r="R31" s="1">
        <v>3653211</v>
      </c>
    </row>
    <row r="32" spans="1:18" x14ac:dyDescent="0.25">
      <c r="A32" s="1">
        <v>2</v>
      </c>
      <c r="B32" s="1">
        <v>7</v>
      </c>
      <c r="C32" s="1">
        <v>7</v>
      </c>
      <c r="D32" s="1">
        <v>166</v>
      </c>
      <c r="E32" s="1">
        <v>75646</v>
      </c>
      <c r="F32" s="1">
        <v>12902539264</v>
      </c>
      <c r="G32" s="1">
        <v>0</v>
      </c>
      <c r="H32" s="1">
        <v>9</v>
      </c>
      <c r="I32" s="1">
        <v>0</v>
      </c>
      <c r="J32" s="1">
        <v>539.72665476804298</v>
      </c>
      <c r="K32" s="1">
        <v>5102835567</v>
      </c>
      <c r="L32" s="1">
        <v>2331497</v>
      </c>
      <c r="M32" s="1">
        <v>0</v>
      </c>
      <c r="N32" s="1">
        <v>0</v>
      </c>
      <c r="O32" s="1">
        <v>5071945728</v>
      </c>
      <c r="P32" s="1">
        <v>1238268</v>
      </c>
      <c r="Q32" s="1">
        <v>272586</v>
      </c>
      <c r="R32" s="1">
        <v>3569765</v>
      </c>
    </row>
    <row r="33" spans="1:18" x14ac:dyDescent="0.25">
      <c r="A33" s="1">
        <v>3</v>
      </c>
      <c r="B33" s="1">
        <v>6</v>
      </c>
      <c r="C33" s="1">
        <v>6</v>
      </c>
      <c r="D33" s="1">
        <v>190</v>
      </c>
      <c r="E33" s="1">
        <v>75964</v>
      </c>
      <c r="F33" s="1">
        <v>12902539264</v>
      </c>
      <c r="G33" s="1">
        <v>0</v>
      </c>
      <c r="H33" s="1">
        <v>8</v>
      </c>
      <c r="I33" s="1">
        <v>0</v>
      </c>
      <c r="J33" s="1">
        <v>556.4040060033177</v>
      </c>
      <c r="K33" s="1">
        <v>5282704474</v>
      </c>
      <c r="L33" s="1">
        <v>2281660</v>
      </c>
      <c r="M33" s="1">
        <v>0</v>
      </c>
      <c r="N33" s="1">
        <v>0</v>
      </c>
      <c r="O33" s="1">
        <v>5251911680</v>
      </c>
      <c r="P33" s="1">
        <v>1282205</v>
      </c>
      <c r="Q33" s="1">
        <v>275045</v>
      </c>
      <c r="R33" s="1">
        <v>3563865</v>
      </c>
    </row>
    <row r="34" spans="1:18" x14ac:dyDescent="0.25">
      <c r="A34" s="1" t="s">
        <v>33</v>
      </c>
      <c r="B34" s="1">
        <f t="shared" ref="B34:R34" si="4">AVERAGE(B31:B33)</f>
        <v>7</v>
      </c>
      <c r="C34" s="1">
        <f t="shared" si="4"/>
        <v>6.333333333333333</v>
      </c>
      <c r="D34" s="1">
        <f t="shared" si="4"/>
        <v>177.33333333333334</v>
      </c>
      <c r="E34" s="1">
        <f t="shared" si="4"/>
        <v>75654</v>
      </c>
      <c r="F34" s="1">
        <f t="shared" si="4"/>
        <v>12902539264</v>
      </c>
      <c r="G34" s="1">
        <f t="shared" si="4"/>
        <v>0</v>
      </c>
      <c r="H34" s="1">
        <f t="shared" si="4"/>
        <v>9</v>
      </c>
      <c r="I34" s="1">
        <f t="shared" si="4"/>
        <v>0</v>
      </c>
      <c r="J34" s="1">
        <f t="shared" si="4"/>
        <v>568.62213602349584</v>
      </c>
      <c r="K34" s="1">
        <f t="shared" si="4"/>
        <v>5375990409.666667</v>
      </c>
      <c r="L34" s="1">
        <f t="shared" si="4"/>
        <v>2290698</v>
      </c>
      <c r="M34" s="1">
        <f t="shared" si="4"/>
        <v>0</v>
      </c>
      <c r="N34" s="1">
        <f t="shared" si="4"/>
        <v>0</v>
      </c>
      <c r="O34" s="1">
        <f t="shared" si="4"/>
        <v>5344934570.666667</v>
      </c>
      <c r="P34" s="1">
        <f t="shared" si="4"/>
        <v>1304915.6666666667</v>
      </c>
      <c r="Q34" s="1">
        <f t="shared" si="4"/>
        <v>299065.33333333331</v>
      </c>
      <c r="R34" s="1">
        <f t="shared" si="4"/>
        <v>3595613.6666666665</v>
      </c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 t="s">
        <v>17</v>
      </c>
      <c r="B36" s="1">
        <v>16384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 s="1" t="s">
        <v>21</v>
      </c>
      <c r="E37" s="1" t="s">
        <v>3</v>
      </c>
      <c r="F37" s="1" t="s">
        <v>22</v>
      </c>
      <c r="G37" s="1" t="s">
        <v>23</v>
      </c>
      <c r="H37" s="1" t="s">
        <v>24</v>
      </c>
      <c r="I37" s="1" t="s">
        <v>25</v>
      </c>
      <c r="J37" s="1" t="s">
        <v>26</v>
      </c>
      <c r="K37" s="1" t="s">
        <v>27</v>
      </c>
      <c r="L37" s="1" t="s">
        <v>28</v>
      </c>
      <c r="M37" s="1" t="s">
        <v>29</v>
      </c>
      <c r="N37" s="1" t="s">
        <v>30</v>
      </c>
      <c r="O37" s="1" t="s">
        <v>31</v>
      </c>
      <c r="P37" s="1" t="s">
        <v>32</v>
      </c>
      <c r="Q37" s="1" t="s">
        <v>4</v>
      </c>
      <c r="R37" s="1" t="s">
        <v>5</v>
      </c>
    </row>
    <row r="38" spans="1:18" x14ac:dyDescent="0.25">
      <c r="A38" s="1">
        <v>1</v>
      </c>
      <c r="B38" s="1">
        <v>8</v>
      </c>
      <c r="C38" s="1">
        <v>8</v>
      </c>
      <c r="D38" s="1">
        <v>172</v>
      </c>
      <c r="E38" s="1">
        <v>89990</v>
      </c>
      <c r="F38" s="1">
        <v>17197506560</v>
      </c>
      <c r="G38" s="1">
        <v>0</v>
      </c>
      <c r="H38" s="1">
        <v>10</v>
      </c>
      <c r="I38" s="1">
        <v>0</v>
      </c>
      <c r="J38" s="1">
        <v>522.61959529683713</v>
      </c>
      <c r="K38" s="1">
        <v>5878082039</v>
      </c>
      <c r="L38" s="1">
        <v>3302873</v>
      </c>
      <c r="M38" s="1">
        <v>0</v>
      </c>
      <c r="N38" s="1">
        <v>0</v>
      </c>
      <c r="O38" s="1">
        <v>5836955648</v>
      </c>
      <c r="P38" s="1">
        <v>1425038</v>
      </c>
      <c r="Q38" s="1">
        <v>364805</v>
      </c>
      <c r="R38" s="1">
        <v>4727911</v>
      </c>
    </row>
    <row r="39" spans="1:18" x14ac:dyDescent="0.25">
      <c r="A39" s="1">
        <v>2</v>
      </c>
      <c r="B39" s="1">
        <v>8</v>
      </c>
      <c r="C39" s="1">
        <v>8</v>
      </c>
      <c r="D39" s="1">
        <v>136</v>
      </c>
      <c r="E39" s="1">
        <v>88197</v>
      </c>
      <c r="F39" s="1">
        <v>17197506560</v>
      </c>
      <c r="G39" s="1">
        <v>0</v>
      </c>
      <c r="H39" s="1">
        <v>10</v>
      </c>
      <c r="I39" s="1">
        <v>0</v>
      </c>
      <c r="J39" s="1">
        <v>527.13876533354505</v>
      </c>
      <c r="K39" s="1">
        <v>5810767558</v>
      </c>
      <c r="L39" s="1">
        <v>3309635</v>
      </c>
      <c r="M39" s="1">
        <v>0</v>
      </c>
      <c r="N39" s="1">
        <v>0</v>
      </c>
      <c r="O39" s="1">
        <v>5769711616</v>
      </c>
      <c r="P39" s="1">
        <v>1408621</v>
      </c>
      <c r="Q39" s="1">
        <v>358054</v>
      </c>
      <c r="R39" s="1">
        <v>4718256</v>
      </c>
    </row>
    <row r="40" spans="1:18" x14ac:dyDescent="0.25">
      <c r="A40" s="1">
        <v>3</v>
      </c>
      <c r="B40" s="1">
        <v>9</v>
      </c>
      <c r="C40" s="1">
        <v>8</v>
      </c>
      <c r="D40" s="1">
        <v>144</v>
      </c>
      <c r="E40" s="1">
        <v>88528</v>
      </c>
      <c r="F40" s="1">
        <v>17197506560</v>
      </c>
      <c r="G40" s="1">
        <v>0</v>
      </c>
      <c r="H40" s="1">
        <v>11</v>
      </c>
      <c r="I40" s="1">
        <v>0</v>
      </c>
      <c r="J40" s="1">
        <v>543.27991884319931</v>
      </c>
      <c r="K40" s="1">
        <v>6011179762</v>
      </c>
      <c r="L40" s="1">
        <v>3299780</v>
      </c>
      <c r="M40" s="1">
        <v>0</v>
      </c>
      <c r="N40" s="1">
        <v>0</v>
      </c>
      <c r="O40" s="1">
        <v>5969821696</v>
      </c>
      <c r="P40" s="1">
        <v>1457476</v>
      </c>
      <c r="Q40" s="1">
        <v>385727</v>
      </c>
      <c r="R40" s="1">
        <v>4757256</v>
      </c>
    </row>
    <row r="41" spans="1:18" x14ac:dyDescent="0.25">
      <c r="A41" s="1" t="s">
        <v>33</v>
      </c>
      <c r="B41" s="1">
        <f t="shared" ref="B41:R41" si="5">AVERAGE(B38:B40)</f>
        <v>8.3333333333333339</v>
      </c>
      <c r="C41" s="1">
        <f t="shared" si="5"/>
        <v>8</v>
      </c>
      <c r="D41" s="1">
        <f t="shared" si="5"/>
        <v>150.66666666666666</v>
      </c>
      <c r="E41" s="1">
        <f t="shared" si="5"/>
        <v>88905</v>
      </c>
      <c r="F41" s="1">
        <f t="shared" si="5"/>
        <v>17197506560</v>
      </c>
      <c r="G41" s="1">
        <f t="shared" si="5"/>
        <v>0</v>
      </c>
      <c r="H41" s="1">
        <f t="shared" si="5"/>
        <v>10.333333333333334</v>
      </c>
      <c r="I41" s="1">
        <f t="shared" si="5"/>
        <v>0</v>
      </c>
      <c r="J41" s="1">
        <f t="shared" si="5"/>
        <v>531.01275982452717</v>
      </c>
      <c r="K41" s="1">
        <f t="shared" si="5"/>
        <v>5900009786.333333</v>
      </c>
      <c r="L41" s="1">
        <f t="shared" si="5"/>
        <v>3304096</v>
      </c>
      <c r="M41" s="1">
        <f t="shared" si="5"/>
        <v>0</v>
      </c>
      <c r="N41" s="1">
        <f t="shared" si="5"/>
        <v>0</v>
      </c>
      <c r="O41" s="1">
        <f t="shared" si="5"/>
        <v>5858829653.333333</v>
      </c>
      <c r="P41" s="1">
        <f t="shared" si="5"/>
        <v>1430378.3333333333</v>
      </c>
      <c r="Q41" s="1">
        <f t="shared" si="5"/>
        <v>369528.66666666669</v>
      </c>
      <c r="R41" s="1">
        <f t="shared" si="5"/>
        <v>4734474.333333333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2"/>
  <sheetViews>
    <sheetView topLeftCell="A4" workbookViewId="0">
      <selection activeCell="A31" sqref="A31:XFD33"/>
    </sheetView>
  </sheetViews>
  <sheetFormatPr defaultRowHeight="15" x14ac:dyDescent="0.25"/>
  <cols>
    <col min="1" max="1" width="12" customWidth="1"/>
    <col min="2" max="6" width="19" customWidth="1"/>
    <col min="7" max="7" width="23" customWidth="1"/>
    <col min="8" max="8" width="22" customWidth="1"/>
    <col min="9" max="12" width="19" customWidth="1"/>
    <col min="13" max="13" width="22" customWidth="1"/>
    <col min="14" max="16" width="19" customWidth="1"/>
    <col min="17" max="17" width="24" customWidth="1"/>
    <col min="18" max="18" width="30" customWidth="1"/>
  </cols>
  <sheetData>
    <row r="1" spans="1:18" x14ac:dyDescent="0.25">
      <c r="A1" s="1" t="s">
        <v>17</v>
      </c>
      <c r="B1" s="1">
        <v>1024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3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4</v>
      </c>
      <c r="R2" s="1" t="s">
        <v>5</v>
      </c>
    </row>
    <row r="3" spans="1:18" x14ac:dyDescent="0.25">
      <c r="A3" s="1">
        <v>1</v>
      </c>
      <c r="B3" s="1">
        <v>3</v>
      </c>
      <c r="C3" s="1">
        <v>15</v>
      </c>
      <c r="D3" s="1">
        <v>63</v>
      </c>
      <c r="E3" s="1">
        <v>10204</v>
      </c>
      <c r="F3" s="1">
        <v>1091379200</v>
      </c>
      <c r="G3" s="1">
        <v>0</v>
      </c>
      <c r="H3" s="1">
        <v>5</v>
      </c>
      <c r="I3" s="1">
        <v>0</v>
      </c>
      <c r="J3" s="1">
        <v>933.34027755422517</v>
      </c>
      <c r="K3" s="1">
        <v>1188513127</v>
      </c>
      <c r="L3" s="1">
        <v>9632</v>
      </c>
      <c r="M3" s="1">
        <v>0</v>
      </c>
      <c r="N3" s="1">
        <v>0</v>
      </c>
      <c r="O3" s="1">
        <v>1185513472</v>
      </c>
      <c r="P3" s="1">
        <v>289432</v>
      </c>
      <c r="Q3" s="1">
        <v>21215</v>
      </c>
      <c r="R3" s="1">
        <v>301418</v>
      </c>
    </row>
    <row r="4" spans="1:18" x14ac:dyDescent="0.25">
      <c r="A4" s="1">
        <v>2</v>
      </c>
      <c r="B4" s="1">
        <v>2</v>
      </c>
      <c r="C4" s="1">
        <v>15</v>
      </c>
      <c r="D4" s="1">
        <v>98</v>
      </c>
      <c r="E4" s="1">
        <v>10246</v>
      </c>
      <c r="F4" s="1">
        <v>1091379200</v>
      </c>
      <c r="G4" s="1">
        <v>0</v>
      </c>
      <c r="H4" s="1">
        <v>4</v>
      </c>
      <c r="I4" s="1">
        <v>0</v>
      </c>
      <c r="J4" s="1">
        <v>914.2504138402893</v>
      </c>
      <c r="K4" s="1">
        <v>1168999640</v>
      </c>
      <c r="L4" s="1">
        <v>11986</v>
      </c>
      <c r="M4" s="1">
        <v>0</v>
      </c>
      <c r="N4" s="1">
        <v>0</v>
      </c>
      <c r="O4" s="1">
        <v>1166209024</v>
      </c>
      <c r="P4" s="1">
        <v>284719</v>
      </c>
      <c r="Q4" s="1">
        <v>21655</v>
      </c>
      <c r="R4" s="1">
        <v>298090</v>
      </c>
    </row>
    <row r="5" spans="1:18" x14ac:dyDescent="0.25">
      <c r="A5" s="1">
        <v>3</v>
      </c>
      <c r="B5" s="1">
        <v>3</v>
      </c>
      <c r="C5" s="1">
        <v>15</v>
      </c>
      <c r="D5" s="1">
        <v>19</v>
      </c>
      <c r="E5" s="1">
        <v>10248</v>
      </c>
      <c r="F5" s="1">
        <v>1091379200</v>
      </c>
      <c r="G5" s="1">
        <v>0</v>
      </c>
      <c r="H5" s="1">
        <v>5</v>
      </c>
      <c r="I5" s="1">
        <v>0</v>
      </c>
      <c r="J5" s="1">
        <v>921.74881735561416</v>
      </c>
      <c r="K5" s="1">
        <v>1178819572</v>
      </c>
      <c r="L5" s="1">
        <v>11724</v>
      </c>
      <c r="M5" s="1">
        <v>0</v>
      </c>
      <c r="N5" s="1">
        <v>0</v>
      </c>
      <c r="O5" s="1">
        <v>1175801856</v>
      </c>
      <c r="P5" s="1">
        <v>287061</v>
      </c>
      <c r="Q5" s="1">
        <v>22079</v>
      </c>
      <c r="R5" s="1">
        <v>300919</v>
      </c>
    </row>
    <row r="6" spans="1:18" x14ac:dyDescent="0.25">
      <c r="A6" s="1" t="s">
        <v>33</v>
      </c>
      <c r="B6" s="1">
        <f t="shared" ref="B6:R6" si="0">AVERAGE(B3:B5)</f>
        <v>2.6666666666666665</v>
      </c>
      <c r="C6" s="1">
        <f t="shared" si="0"/>
        <v>15</v>
      </c>
      <c r="D6" s="1">
        <f t="shared" si="0"/>
        <v>60</v>
      </c>
      <c r="E6" s="1">
        <f t="shared" si="0"/>
        <v>10232.666666666666</v>
      </c>
      <c r="F6" s="1">
        <f t="shared" si="0"/>
        <v>1091379200</v>
      </c>
      <c r="G6" s="1">
        <f t="shared" si="0"/>
        <v>0</v>
      </c>
      <c r="H6" s="1">
        <f t="shared" si="0"/>
        <v>4.666666666666667</v>
      </c>
      <c r="I6" s="1">
        <f t="shared" si="0"/>
        <v>0</v>
      </c>
      <c r="J6" s="1">
        <f t="shared" si="0"/>
        <v>923.11316958337613</v>
      </c>
      <c r="K6" s="1">
        <f t="shared" si="0"/>
        <v>1178777446.3333333</v>
      </c>
      <c r="L6" s="1">
        <f t="shared" si="0"/>
        <v>11114</v>
      </c>
      <c r="M6" s="1">
        <f t="shared" si="0"/>
        <v>0</v>
      </c>
      <c r="N6" s="1">
        <f t="shared" si="0"/>
        <v>0</v>
      </c>
      <c r="O6" s="1">
        <f t="shared" si="0"/>
        <v>1175841450.6666667</v>
      </c>
      <c r="P6" s="1">
        <f t="shared" si="0"/>
        <v>287070.66666666669</v>
      </c>
      <c r="Q6" s="1">
        <f t="shared" si="0"/>
        <v>21649.666666666668</v>
      </c>
      <c r="R6" s="1">
        <f t="shared" si="0"/>
        <v>300142.33333333331</v>
      </c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 t="s">
        <v>17</v>
      </c>
      <c r="B8" s="1">
        <v>2048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3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28</v>
      </c>
      <c r="M9" s="1" t="s">
        <v>29</v>
      </c>
      <c r="N9" s="1" t="s">
        <v>30</v>
      </c>
      <c r="O9" s="1" t="s">
        <v>31</v>
      </c>
      <c r="P9" s="1" t="s">
        <v>32</v>
      </c>
      <c r="Q9" s="1" t="s">
        <v>4</v>
      </c>
      <c r="R9" s="1" t="s">
        <v>5</v>
      </c>
    </row>
    <row r="10" spans="1:18" x14ac:dyDescent="0.25">
      <c r="A10" s="1">
        <v>1</v>
      </c>
      <c r="B10" s="1">
        <v>3</v>
      </c>
      <c r="C10" s="1">
        <v>18</v>
      </c>
      <c r="D10" s="1">
        <v>43</v>
      </c>
      <c r="E10" s="1">
        <v>21069</v>
      </c>
      <c r="F10" s="1">
        <v>2165121024</v>
      </c>
      <c r="G10" s="1">
        <v>0</v>
      </c>
      <c r="H10" s="1">
        <v>5</v>
      </c>
      <c r="I10" s="1">
        <v>0</v>
      </c>
      <c r="J10" s="1">
        <v>906.24982680157711</v>
      </c>
      <c r="K10" s="1">
        <v>2384470754</v>
      </c>
      <c r="L10" s="1">
        <v>12582</v>
      </c>
      <c r="M10" s="1">
        <v>0</v>
      </c>
      <c r="N10" s="1">
        <v>0</v>
      </c>
      <c r="O10" s="1">
        <v>2379038720</v>
      </c>
      <c r="P10" s="1">
        <v>580820</v>
      </c>
      <c r="Q10" s="1">
        <v>36359</v>
      </c>
      <c r="R10" s="1">
        <v>596603</v>
      </c>
    </row>
    <row r="11" spans="1:18" x14ac:dyDescent="0.25">
      <c r="A11" s="1">
        <v>2</v>
      </c>
      <c r="B11" s="1">
        <v>3</v>
      </c>
      <c r="C11" s="1">
        <v>19</v>
      </c>
      <c r="D11" s="1">
        <v>61</v>
      </c>
      <c r="E11" s="1">
        <v>21234</v>
      </c>
      <c r="F11" s="1">
        <v>2165121024</v>
      </c>
      <c r="G11" s="1">
        <v>0</v>
      </c>
      <c r="H11" s="1">
        <v>5</v>
      </c>
      <c r="I11" s="1">
        <v>0</v>
      </c>
      <c r="J11" s="1">
        <v>888.47451746405852</v>
      </c>
      <c r="K11" s="1">
        <v>2355910977</v>
      </c>
      <c r="L11" s="1">
        <v>11818</v>
      </c>
      <c r="M11" s="1">
        <v>0</v>
      </c>
      <c r="N11" s="1">
        <v>0</v>
      </c>
      <c r="O11" s="1">
        <v>2349993984</v>
      </c>
      <c r="P11" s="1">
        <v>573729</v>
      </c>
      <c r="Q11" s="1">
        <v>33368</v>
      </c>
      <c r="R11" s="1">
        <v>588618</v>
      </c>
    </row>
    <row r="12" spans="1:18" x14ac:dyDescent="0.25">
      <c r="A12" s="1">
        <v>3</v>
      </c>
      <c r="B12" s="1">
        <v>3</v>
      </c>
      <c r="C12" s="1">
        <v>19</v>
      </c>
      <c r="D12" s="1">
        <v>42</v>
      </c>
      <c r="E12" s="1">
        <v>21082</v>
      </c>
      <c r="F12" s="1">
        <v>2165121024</v>
      </c>
      <c r="G12" s="1">
        <v>0</v>
      </c>
      <c r="H12" s="1">
        <v>5</v>
      </c>
      <c r="I12" s="1">
        <v>0</v>
      </c>
      <c r="J12" s="1">
        <v>912.28049375682474</v>
      </c>
      <c r="K12" s="1">
        <v>2401708121</v>
      </c>
      <c r="L12" s="1">
        <v>12345</v>
      </c>
      <c r="M12" s="1">
        <v>0</v>
      </c>
      <c r="N12" s="1">
        <v>0</v>
      </c>
      <c r="O12" s="1">
        <v>2396110848</v>
      </c>
      <c r="P12" s="1">
        <v>584988</v>
      </c>
      <c r="Q12" s="1">
        <v>43798</v>
      </c>
      <c r="R12" s="1">
        <v>600523</v>
      </c>
    </row>
    <row r="13" spans="1:18" x14ac:dyDescent="0.25">
      <c r="A13" s="1" t="s">
        <v>33</v>
      </c>
      <c r="B13" s="1">
        <f t="shared" ref="B13:R13" si="1">AVERAGE(B10:B12)</f>
        <v>3</v>
      </c>
      <c r="C13" s="1">
        <f t="shared" si="1"/>
        <v>18.666666666666668</v>
      </c>
      <c r="D13" s="1">
        <f t="shared" si="1"/>
        <v>48.666666666666664</v>
      </c>
      <c r="E13" s="1">
        <f t="shared" si="1"/>
        <v>21128.333333333332</v>
      </c>
      <c r="F13" s="1">
        <f t="shared" si="1"/>
        <v>2165121024</v>
      </c>
      <c r="G13" s="1">
        <f t="shared" si="1"/>
        <v>0</v>
      </c>
      <c r="H13" s="1">
        <f t="shared" si="1"/>
        <v>5</v>
      </c>
      <c r="I13" s="1">
        <f t="shared" si="1"/>
        <v>0</v>
      </c>
      <c r="J13" s="1">
        <f t="shared" si="1"/>
        <v>902.33494600748679</v>
      </c>
      <c r="K13" s="1">
        <f t="shared" si="1"/>
        <v>2380696617.3333335</v>
      </c>
      <c r="L13" s="1">
        <f t="shared" si="1"/>
        <v>12248.333333333334</v>
      </c>
      <c r="M13" s="1">
        <f t="shared" si="1"/>
        <v>0</v>
      </c>
      <c r="N13" s="1">
        <f t="shared" si="1"/>
        <v>0</v>
      </c>
      <c r="O13" s="1">
        <f t="shared" si="1"/>
        <v>2375047850.6666665</v>
      </c>
      <c r="P13" s="1">
        <f t="shared" si="1"/>
        <v>579845.66666666663</v>
      </c>
      <c r="Q13" s="1">
        <f t="shared" si="1"/>
        <v>37841.666666666664</v>
      </c>
      <c r="R13" s="1">
        <f t="shared" si="1"/>
        <v>595248</v>
      </c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 t="s">
        <v>17</v>
      </c>
      <c r="B15" s="1">
        <v>4096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3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26</v>
      </c>
      <c r="K16" s="1" t="s">
        <v>27</v>
      </c>
      <c r="L16" s="1" t="s">
        <v>28</v>
      </c>
      <c r="M16" s="1" t="s">
        <v>29</v>
      </c>
      <c r="N16" s="1" t="s">
        <v>30</v>
      </c>
      <c r="O16" s="1" t="s">
        <v>31</v>
      </c>
      <c r="P16" s="1" t="s">
        <v>32</v>
      </c>
      <c r="Q16" s="1" t="s">
        <v>4</v>
      </c>
      <c r="R16" s="1" t="s">
        <v>5</v>
      </c>
    </row>
    <row r="17" spans="1:18" x14ac:dyDescent="0.25">
      <c r="A17" s="1">
        <v>1</v>
      </c>
      <c r="B17" s="1">
        <v>5</v>
      </c>
      <c r="C17" s="1">
        <v>20</v>
      </c>
      <c r="D17" s="1">
        <v>78</v>
      </c>
      <c r="E17" s="1">
        <v>37903</v>
      </c>
      <c r="F17" s="1">
        <v>4312604672</v>
      </c>
      <c r="G17" s="1">
        <v>0</v>
      </c>
      <c r="H17" s="1">
        <v>7</v>
      </c>
      <c r="I17" s="1">
        <v>0</v>
      </c>
      <c r="J17" s="1">
        <v>815.550396114352</v>
      </c>
      <c r="K17" s="1">
        <v>3861724521</v>
      </c>
      <c r="L17" s="1">
        <v>359208</v>
      </c>
      <c r="M17" s="1">
        <v>0</v>
      </c>
      <c r="N17" s="1">
        <v>0</v>
      </c>
      <c r="O17" s="1">
        <v>3847860224</v>
      </c>
      <c r="P17" s="1">
        <v>939419</v>
      </c>
      <c r="Q17" s="1">
        <v>173341</v>
      </c>
      <c r="R17" s="1">
        <v>1311172</v>
      </c>
    </row>
    <row r="18" spans="1:18" x14ac:dyDescent="0.25">
      <c r="A18" s="1">
        <v>2</v>
      </c>
      <c r="B18" s="1">
        <v>5</v>
      </c>
      <c r="C18" s="1">
        <v>19</v>
      </c>
      <c r="D18" s="1">
        <v>71</v>
      </c>
      <c r="E18" s="1">
        <v>38211</v>
      </c>
      <c r="F18" s="1">
        <v>4312604672</v>
      </c>
      <c r="G18" s="1">
        <v>0</v>
      </c>
      <c r="H18" s="1">
        <v>7</v>
      </c>
      <c r="I18" s="1">
        <v>0</v>
      </c>
      <c r="J18" s="1">
        <v>819.78294281524927</v>
      </c>
      <c r="K18" s="1">
        <v>3913431333</v>
      </c>
      <c r="L18" s="1">
        <v>345530</v>
      </c>
      <c r="M18" s="1">
        <v>0</v>
      </c>
      <c r="N18" s="1">
        <v>0</v>
      </c>
      <c r="O18" s="1">
        <v>3899621376</v>
      </c>
      <c r="P18" s="1">
        <v>952056</v>
      </c>
      <c r="Q18" s="1">
        <v>176491</v>
      </c>
      <c r="R18" s="1">
        <v>1310144</v>
      </c>
    </row>
    <row r="19" spans="1:18" x14ac:dyDescent="0.25">
      <c r="A19" s="1">
        <v>3</v>
      </c>
      <c r="B19" s="1">
        <v>5</v>
      </c>
      <c r="C19" s="1">
        <v>22</v>
      </c>
      <c r="D19" s="1">
        <v>98</v>
      </c>
      <c r="E19" s="1">
        <v>38201</v>
      </c>
      <c r="F19" s="1">
        <v>4312604672</v>
      </c>
      <c r="G19" s="1">
        <v>0</v>
      </c>
      <c r="H19" s="1">
        <v>7</v>
      </c>
      <c r="I19" s="1">
        <v>0</v>
      </c>
      <c r="J19" s="1">
        <v>822.2209539275517</v>
      </c>
      <c r="K19" s="1">
        <v>3923734289</v>
      </c>
      <c r="L19" s="1">
        <v>341687</v>
      </c>
      <c r="M19" s="1">
        <v>0</v>
      </c>
      <c r="N19" s="1">
        <v>0</v>
      </c>
      <c r="O19" s="1">
        <v>3908337664</v>
      </c>
      <c r="P19" s="1">
        <v>954184</v>
      </c>
      <c r="Q19" s="1">
        <v>165307</v>
      </c>
      <c r="R19" s="1">
        <v>1308811</v>
      </c>
    </row>
    <row r="20" spans="1:18" x14ac:dyDescent="0.25">
      <c r="A20" s="1" t="s">
        <v>33</v>
      </c>
      <c r="B20" s="1">
        <f t="shared" ref="B20:R20" si="2">AVERAGE(B17:B19)</f>
        <v>5</v>
      </c>
      <c r="C20" s="1">
        <f t="shared" si="2"/>
        <v>20.333333333333332</v>
      </c>
      <c r="D20" s="1">
        <f t="shared" si="2"/>
        <v>82.333333333333329</v>
      </c>
      <c r="E20" s="1">
        <f t="shared" si="2"/>
        <v>38105</v>
      </c>
      <c r="F20" s="1">
        <f t="shared" si="2"/>
        <v>4312604672</v>
      </c>
      <c r="G20" s="1">
        <f t="shared" si="2"/>
        <v>0</v>
      </c>
      <c r="H20" s="1">
        <f t="shared" si="2"/>
        <v>7</v>
      </c>
      <c r="I20" s="1">
        <f t="shared" si="2"/>
        <v>0</v>
      </c>
      <c r="J20" s="1">
        <f t="shared" si="2"/>
        <v>819.18476428571773</v>
      </c>
      <c r="K20" s="1">
        <f t="shared" si="2"/>
        <v>3899630047.6666665</v>
      </c>
      <c r="L20" s="1">
        <f t="shared" si="2"/>
        <v>348808.33333333331</v>
      </c>
      <c r="M20" s="1">
        <f t="shared" si="2"/>
        <v>0</v>
      </c>
      <c r="N20" s="1">
        <f t="shared" si="2"/>
        <v>0</v>
      </c>
      <c r="O20" s="1">
        <f t="shared" si="2"/>
        <v>3885273088</v>
      </c>
      <c r="P20" s="1">
        <f t="shared" si="2"/>
        <v>948553</v>
      </c>
      <c r="Q20" s="1">
        <f t="shared" si="2"/>
        <v>171713</v>
      </c>
      <c r="R20" s="1">
        <f t="shared" si="2"/>
        <v>1310042.3333333333</v>
      </c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17</v>
      </c>
      <c r="B22" s="1">
        <v>8192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 s="1" t="s">
        <v>21</v>
      </c>
      <c r="E23" s="1" t="s">
        <v>3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  <c r="N23" s="1" t="s">
        <v>30</v>
      </c>
      <c r="O23" s="1" t="s">
        <v>31</v>
      </c>
      <c r="P23" s="1" t="s">
        <v>32</v>
      </c>
      <c r="Q23" s="1" t="s">
        <v>4</v>
      </c>
      <c r="R23" s="1" t="s">
        <v>5</v>
      </c>
    </row>
    <row r="24" spans="1:18" x14ac:dyDescent="0.25">
      <c r="A24" s="1">
        <v>1</v>
      </c>
      <c r="B24" s="1">
        <v>5</v>
      </c>
      <c r="C24" s="1">
        <v>22</v>
      </c>
      <c r="D24" s="1">
        <v>79</v>
      </c>
      <c r="E24" s="1">
        <v>55404</v>
      </c>
      <c r="F24" s="1">
        <v>8607571968</v>
      </c>
      <c r="G24" s="1">
        <v>0</v>
      </c>
      <c r="H24" s="1">
        <v>7</v>
      </c>
      <c r="I24" s="1">
        <v>0</v>
      </c>
      <c r="J24" s="1">
        <v>632.16529413888986</v>
      </c>
      <c r="K24" s="1">
        <v>4376109854</v>
      </c>
      <c r="L24" s="1">
        <v>1420646</v>
      </c>
      <c r="M24" s="1">
        <v>0</v>
      </c>
      <c r="N24" s="1">
        <v>0</v>
      </c>
      <c r="O24" s="1">
        <v>4351877120</v>
      </c>
      <c r="P24" s="1">
        <v>1062470</v>
      </c>
      <c r="Q24" s="1">
        <v>120525</v>
      </c>
      <c r="R24" s="1">
        <v>2492424</v>
      </c>
    </row>
    <row r="25" spans="1:18" x14ac:dyDescent="0.25">
      <c r="A25" s="1">
        <v>2</v>
      </c>
      <c r="B25" s="1">
        <v>5</v>
      </c>
      <c r="C25" s="1">
        <v>20</v>
      </c>
      <c r="D25" s="1">
        <v>66</v>
      </c>
      <c r="E25" s="1">
        <v>55891</v>
      </c>
      <c r="F25" s="1">
        <v>8607571968</v>
      </c>
      <c r="G25" s="1">
        <v>0</v>
      </c>
      <c r="H25" s="1">
        <v>7</v>
      </c>
      <c r="I25" s="1">
        <v>0</v>
      </c>
      <c r="J25" s="1">
        <v>628.67048966368952</v>
      </c>
      <c r="K25" s="1">
        <v>4390343680</v>
      </c>
      <c r="L25" s="1">
        <v>1331691</v>
      </c>
      <c r="M25" s="1">
        <v>0</v>
      </c>
      <c r="N25" s="1">
        <v>0</v>
      </c>
      <c r="O25" s="1">
        <v>4365639680</v>
      </c>
      <c r="P25" s="1">
        <v>1065830</v>
      </c>
      <c r="Q25" s="1">
        <v>212981</v>
      </c>
      <c r="R25" s="1">
        <v>2408168</v>
      </c>
    </row>
    <row r="26" spans="1:18" x14ac:dyDescent="0.25">
      <c r="A26" s="1">
        <v>3</v>
      </c>
      <c r="B26" s="1">
        <v>5</v>
      </c>
      <c r="C26" s="1">
        <v>21</v>
      </c>
      <c r="D26" s="1">
        <v>95</v>
      </c>
      <c r="E26" s="1">
        <v>55864</v>
      </c>
      <c r="F26" s="1">
        <v>8607571968</v>
      </c>
      <c r="G26" s="1">
        <v>0</v>
      </c>
      <c r="H26" s="1">
        <v>7</v>
      </c>
      <c r="I26" s="1">
        <v>0</v>
      </c>
      <c r="J26" s="1">
        <v>644.46112938058479</v>
      </c>
      <c r="K26" s="1">
        <v>4498367920</v>
      </c>
      <c r="L26" s="1">
        <v>1336563</v>
      </c>
      <c r="M26" s="1">
        <v>0</v>
      </c>
      <c r="N26" s="1">
        <v>0</v>
      </c>
      <c r="O26" s="1">
        <v>4473425920</v>
      </c>
      <c r="P26" s="1">
        <v>1092145</v>
      </c>
      <c r="Q26" s="1">
        <v>235533</v>
      </c>
      <c r="R26" s="1">
        <v>2440125</v>
      </c>
    </row>
    <row r="27" spans="1:18" x14ac:dyDescent="0.25">
      <c r="A27" s="1" t="s">
        <v>33</v>
      </c>
      <c r="B27" s="1">
        <f t="shared" ref="B27:R27" si="3">AVERAGE(B24:B26)</f>
        <v>5</v>
      </c>
      <c r="C27" s="1">
        <f t="shared" si="3"/>
        <v>21</v>
      </c>
      <c r="D27" s="1">
        <f t="shared" si="3"/>
        <v>80</v>
      </c>
      <c r="E27" s="1">
        <f t="shared" si="3"/>
        <v>55719.666666666664</v>
      </c>
      <c r="F27" s="1">
        <f t="shared" si="3"/>
        <v>8607571968</v>
      </c>
      <c r="G27" s="1">
        <f t="shared" si="3"/>
        <v>0</v>
      </c>
      <c r="H27" s="1">
        <f t="shared" si="3"/>
        <v>7</v>
      </c>
      <c r="I27" s="1">
        <f t="shared" si="3"/>
        <v>0</v>
      </c>
      <c r="J27" s="1">
        <f t="shared" si="3"/>
        <v>635.09897106105473</v>
      </c>
      <c r="K27" s="1">
        <f t="shared" si="3"/>
        <v>4421607151.333333</v>
      </c>
      <c r="L27" s="1">
        <f t="shared" si="3"/>
        <v>1362966.6666666667</v>
      </c>
      <c r="M27" s="1">
        <f t="shared" si="3"/>
        <v>0</v>
      </c>
      <c r="N27" s="1">
        <f t="shared" si="3"/>
        <v>0</v>
      </c>
      <c r="O27" s="1">
        <f t="shared" si="3"/>
        <v>4396980906.666667</v>
      </c>
      <c r="P27" s="1">
        <f t="shared" si="3"/>
        <v>1073481.6666666667</v>
      </c>
      <c r="Q27" s="1">
        <f t="shared" si="3"/>
        <v>189679.66666666666</v>
      </c>
      <c r="R27" s="1">
        <f t="shared" si="3"/>
        <v>2446905.6666666665</v>
      </c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 t="s">
        <v>17</v>
      </c>
      <c r="B29" s="1">
        <v>12288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 s="1" t="s">
        <v>21</v>
      </c>
      <c r="E30" s="1" t="s">
        <v>3</v>
      </c>
      <c r="F30" s="1" t="s">
        <v>22</v>
      </c>
      <c r="G30" s="1" t="s">
        <v>23</v>
      </c>
      <c r="H30" s="1" t="s">
        <v>24</v>
      </c>
      <c r="I30" s="1" t="s">
        <v>25</v>
      </c>
      <c r="J30" s="1" t="s">
        <v>26</v>
      </c>
      <c r="K30" s="1" t="s">
        <v>27</v>
      </c>
      <c r="L30" s="1" t="s">
        <v>28</v>
      </c>
      <c r="M30" s="1" t="s">
        <v>29</v>
      </c>
      <c r="N30" s="1" t="s">
        <v>30</v>
      </c>
      <c r="O30" s="1" t="s">
        <v>31</v>
      </c>
      <c r="P30" s="1" t="s">
        <v>32</v>
      </c>
      <c r="Q30" s="1" t="s">
        <v>4</v>
      </c>
      <c r="R30" s="1" t="s">
        <v>5</v>
      </c>
    </row>
    <row r="31" spans="1:18" x14ac:dyDescent="0.25">
      <c r="A31" s="1">
        <v>1</v>
      </c>
      <c r="B31" s="1">
        <v>5</v>
      </c>
      <c r="C31" s="1">
        <v>23</v>
      </c>
      <c r="D31" s="1">
        <v>82</v>
      </c>
      <c r="E31" s="1">
        <v>72226</v>
      </c>
      <c r="F31" s="1">
        <v>12902539264</v>
      </c>
      <c r="G31" s="1">
        <v>0</v>
      </c>
      <c r="H31" s="1">
        <v>7</v>
      </c>
      <c r="I31" s="1">
        <v>0</v>
      </c>
      <c r="J31" s="1">
        <v>520.10141606304444</v>
      </c>
      <c r="K31" s="1">
        <v>4693897882</v>
      </c>
      <c r="L31" s="1">
        <v>2330574</v>
      </c>
      <c r="M31" s="1">
        <v>0</v>
      </c>
      <c r="N31" s="1">
        <v>0</v>
      </c>
      <c r="O31" s="1">
        <v>4659732480</v>
      </c>
      <c r="P31" s="1">
        <v>1137630</v>
      </c>
      <c r="Q31" s="1">
        <v>227418</v>
      </c>
      <c r="R31" s="1">
        <v>3481648</v>
      </c>
    </row>
    <row r="32" spans="1:18" x14ac:dyDescent="0.25">
      <c r="A32" s="1">
        <v>2</v>
      </c>
      <c r="B32" s="1">
        <v>6</v>
      </c>
      <c r="C32" s="1">
        <v>22</v>
      </c>
      <c r="D32" s="1">
        <v>84</v>
      </c>
      <c r="E32" s="1">
        <v>73579</v>
      </c>
      <c r="F32" s="1">
        <v>12902539264</v>
      </c>
      <c r="G32" s="1">
        <v>0</v>
      </c>
      <c r="H32" s="1">
        <v>8</v>
      </c>
      <c r="I32" s="1">
        <v>0</v>
      </c>
      <c r="J32" s="1">
        <v>550.71873556561582</v>
      </c>
      <c r="K32" s="1">
        <v>5063439792</v>
      </c>
      <c r="L32" s="1">
        <v>2292422</v>
      </c>
      <c r="M32" s="1">
        <v>0</v>
      </c>
      <c r="N32" s="1">
        <v>0</v>
      </c>
      <c r="O32" s="1">
        <v>5028507648</v>
      </c>
      <c r="P32" s="1">
        <v>1227663</v>
      </c>
      <c r="Q32" s="1">
        <v>273919</v>
      </c>
      <c r="R32" s="1">
        <v>3535354</v>
      </c>
    </row>
    <row r="33" spans="1:18" x14ac:dyDescent="0.25">
      <c r="A33" s="1">
        <v>3</v>
      </c>
      <c r="B33" s="1">
        <v>6</v>
      </c>
      <c r="C33" s="1">
        <v>24</v>
      </c>
      <c r="D33" s="1">
        <v>84</v>
      </c>
      <c r="E33" s="1">
        <v>73985</v>
      </c>
      <c r="F33" s="1">
        <v>12902539264</v>
      </c>
      <c r="G33" s="1">
        <v>0</v>
      </c>
      <c r="H33" s="1">
        <v>8</v>
      </c>
      <c r="I33" s="1">
        <v>0</v>
      </c>
      <c r="J33" s="1">
        <v>556.18249758656589</v>
      </c>
      <c r="K33" s="1">
        <v>5141764251</v>
      </c>
      <c r="L33" s="1">
        <v>2295798</v>
      </c>
      <c r="M33" s="1">
        <v>0</v>
      </c>
      <c r="N33" s="1">
        <v>0</v>
      </c>
      <c r="O33" s="1">
        <v>5106253824</v>
      </c>
      <c r="P33" s="1">
        <v>1246644</v>
      </c>
      <c r="Q33" s="1">
        <v>307024</v>
      </c>
      <c r="R33" s="1">
        <v>3559273</v>
      </c>
    </row>
    <row r="34" spans="1:18" x14ac:dyDescent="0.25">
      <c r="A34" s="1" t="s">
        <v>33</v>
      </c>
      <c r="B34" s="1">
        <f t="shared" ref="B34:R34" si="4">AVERAGE(B31:B33)</f>
        <v>5.666666666666667</v>
      </c>
      <c r="C34" s="1">
        <f t="shared" si="4"/>
        <v>23</v>
      </c>
      <c r="D34" s="1">
        <f t="shared" si="4"/>
        <v>83.333333333333329</v>
      </c>
      <c r="E34" s="1">
        <f t="shared" si="4"/>
        <v>73263.333333333328</v>
      </c>
      <c r="F34" s="1">
        <f t="shared" si="4"/>
        <v>12902539264</v>
      </c>
      <c r="G34" s="1">
        <f t="shared" si="4"/>
        <v>0</v>
      </c>
      <c r="H34" s="1">
        <f t="shared" si="4"/>
        <v>7.666666666666667</v>
      </c>
      <c r="I34" s="1">
        <f t="shared" si="4"/>
        <v>0</v>
      </c>
      <c r="J34" s="1">
        <f t="shared" si="4"/>
        <v>542.33421640507538</v>
      </c>
      <c r="K34" s="1">
        <f t="shared" si="4"/>
        <v>4966367308.333333</v>
      </c>
      <c r="L34" s="1">
        <f t="shared" si="4"/>
        <v>2306264.6666666665</v>
      </c>
      <c r="M34" s="1">
        <f t="shared" si="4"/>
        <v>0</v>
      </c>
      <c r="N34" s="1">
        <f t="shared" si="4"/>
        <v>0</v>
      </c>
      <c r="O34" s="1">
        <f t="shared" si="4"/>
        <v>4931497984</v>
      </c>
      <c r="P34" s="1">
        <f t="shared" si="4"/>
        <v>1203979</v>
      </c>
      <c r="Q34" s="1">
        <f t="shared" si="4"/>
        <v>269453.66666666669</v>
      </c>
      <c r="R34" s="1">
        <f t="shared" si="4"/>
        <v>3525425</v>
      </c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 t="s">
        <v>17</v>
      </c>
      <c r="B36" s="1">
        <v>16384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 s="1" t="s">
        <v>21</v>
      </c>
      <c r="E37" s="1" t="s">
        <v>3</v>
      </c>
      <c r="F37" s="1" t="s">
        <v>22</v>
      </c>
      <c r="G37" s="1" t="s">
        <v>23</v>
      </c>
      <c r="H37" s="1" t="s">
        <v>24</v>
      </c>
      <c r="I37" s="1" t="s">
        <v>25</v>
      </c>
      <c r="J37" s="1" t="s">
        <v>26</v>
      </c>
      <c r="K37" s="1" t="s">
        <v>27</v>
      </c>
      <c r="L37" s="1" t="s">
        <v>28</v>
      </c>
      <c r="M37" s="1" t="s">
        <v>29</v>
      </c>
      <c r="N37" s="1" t="s">
        <v>30</v>
      </c>
      <c r="O37" s="1" t="s">
        <v>31</v>
      </c>
      <c r="P37" s="1" t="s">
        <v>32</v>
      </c>
      <c r="Q37" s="1" t="s">
        <v>4</v>
      </c>
      <c r="R37" s="1" t="s">
        <v>5</v>
      </c>
    </row>
    <row r="38" spans="1:18" x14ac:dyDescent="0.25">
      <c r="A38" s="1">
        <v>1</v>
      </c>
      <c r="B38" s="1">
        <v>25</v>
      </c>
      <c r="C38" s="1">
        <v>24</v>
      </c>
      <c r="D38" s="1">
        <v>82</v>
      </c>
      <c r="E38" s="1">
        <v>88545</v>
      </c>
      <c r="F38" s="1">
        <v>17197506560</v>
      </c>
      <c r="G38" s="1">
        <v>0</v>
      </c>
      <c r="H38" s="1">
        <v>27</v>
      </c>
      <c r="I38" s="1">
        <v>0</v>
      </c>
      <c r="J38" s="1">
        <v>502.72828937766178</v>
      </c>
      <c r="K38" s="1">
        <v>5562538157</v>
      </c>
      <c r="L38" s="1">
        <v>3318150</v>
      </c>
      <c r="M38" s="1">
        <v>0</v>
      </c>
      <c r="N38" s="1">
        <v>0</v>
      </c>
      <c r="O38" s="1">
        <v>5479464960</v>
      </c>
      <c r="P38" s="1">
        <v>1337760</v>
      </c>
      <c r="Q38" s="1">
        <v>354969</v>
      </c>
      <c r="R38" s="1">
        <v>4704550</v>
      </c>
    </row>
    <row r="39" spans="1:18" x14ac:dyDescent="0.25">
      <c r="A39" s="1">
        <v>2</v>
      </c>
      <c r="B39" s="1">
        <v>6</v>
      </c>
      <c r="C39" s="1">
        <v>26</v>
      </c>
      <c r="D39" s="1">
        <v>89</v>
      </c>
      <c r="E39" s="1">
        <v>88419</v>
      </c>
      <c r="F39" s="1">
        <v>17197506560</v>
      </c>
      <c r="G39" s="1">
        <v>0</v>
      </c>
      <c r="H39" s="1">
        <v>8</v>
      </c>
      <c r="I39" s="1">
        <v>0</v>
      </c>
      <c r="J39" s="1">
        <v>452.16591766316338</v>
      </c>
      <c r="K39" s="1">
        <v>4995825033</v>
      </c>
      <c r="L39" s="1">
        <v>3331712</v>
      </c>
      <c r="M39" s="1">
        <v>0</v>
      </c>
      <c r="N39" s="1">
        <v>0</v>
      </c>
      <c r="O39" s="1">
        <v>4950327296</v>
      </c>
      <c r="P39" s="1">
        <v>1208576</v>
      </c>
      <c r="Q39" s="1">
        <v>237175</v>
      </c>
      <c r="R39" s="1">
        <v>4555487</v>
      </c>
    </row>
    <row r="40" spans="1:18" x14ac:dyDescent="0.25">
      <c r="A40" s="1">
        <v>3</v>
      </c>
      <c r="B40" s="1">
        <v>8</v>
      </c>
      <c r="C40" s="1">
        <v>23</v>
      </c>
      <c r="D40" s="1">
        <v>79</v>
      </c>
      <c r="E40" s="1">
        <v>87581</v>
      </c>
      <c r="F40" s="1">
        <v>17197506560</v>
      </c>
      <c r="G40" s="1">
        <v>0</v>
      </c>
      <c r="H40" s="1">
        <v>10</v>
      </c>
      <c r="I40" s="1">
        <v>0</v>
      </c>
      <c r="J40" s="1">
        <v>509.69125398021879</v>
      </c>
      <c r="K40" s="1">
        <v>5578230838</v>
      </c>
      <c r="L40" s="1">
        <v>3258109</v>
      </c>
      <c r="M40" s="1">
        <v>0</v>
      </c>
      <c r="N40" s="1">
        <v>0</v>
      </c>
      <c r="O40" s="1">
        <v>5530202112</v>
      </c>
      <c r="P40" s="1">
        <v>1350147</v>
      </c>
      <c r="Q40" s="1">
        <v>303554</v>
      </c>
      <c r="R40" s="1">
        <v>4626837</v>
      </c>
    </row>
    <row r="41" spans="1:18" x14ac:dyDescent="0.25">
      <c r="A41" s="1" t="s">
        <v>33</v>
      </c>
      <c r="B41" s="1">
        <f t="shared" ref="B41:R41" si="5">AVERAGE(B38:B40)</f>
        <v>13</v>
      </c>
      <c r="C41" s="1">
        <f t="shared" si="5"/>
        <v>24.333333333333332</v>
      </c>
      <c r="D41" s="1">
        <f t="shared" si="5"/>
        <v>83.333333333333329</v>
      </c>
      <c r="E41" s="1">
        <f t="shared" si="5"/>
        <v>88181.666666666672</v>
      </c>
      <c r="F41" s="1">
        <f t="shared" si="5"/>
        <v>17197506560</v>
      </c>
      <c r="G41" s="1">
        <f t="shared" si="5"/>
        <v>0</v>
      </c>
      <c r="H41" s="1">
        <f t="shared" si="5"/>
        <v>15</v>
      </c>
      <c r="I41" s="1">
        <f t="shared" si="5"/>
        <v>0</v>
      </c>
      <c r="J41" s="1">
        <f t="shared" si="5"/>
        <v>488.19515367368132</v>
      </c>
      <c r="K41" s="1">
        <f t="shared" si="5"/>
        <v>5378864676</v>
      </c>
      <c r="L41" s="1">
        <f t="shared" si="5"/>
        <v>3302657</v>
      </c>
      <c r="M41" s="1">
        <f t="shared" si="5"/>
        <v>0</v>
      </c>
      <c r="N41" s="1">
        <f t="shared" si="5"/>
        <v>0</v>
      </c>
      <c r="O41" s="1">
        <f t="shared" si="5"/>
        <v>5319998122.666667</v>
      </c>
      <c r="P41" s="1">
        <f t="shared" si="5"/>
        <v>1298827.6666666667</v>
      </c>
      <c r="Q41" s="1">
        <f t="shared" si="5"/>
        <v>298566</v>
      </c>
      <c r="R41" s="1">
        <f t="shared" si="5"/>
        <v>4628958</v>
      </c>
    </row>
    <row r="42" spans="1:1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2"/>
  <sheetViews>
    <sheetView workbookViewId="0"/>
  </sheetViews>
  <sheetFormatPr defaultRowHeight="15" x14ac:dyDescent="0.25"/>
  <cols>
    <col min="1" max="1" width="12" customWidth="1"/>
    <col min="2" max="6" width="19" customWidth="1"/>
    <col min="7" max="7" width="23" customWidth="1"/>
    <col min="8" max="8" width="22" customWidth="1"/>
    <col min="9" max="12" width="19" customWidth="1"/>
    <col min="13" max="13" width="22" customWidth="1"/>
    <col min="14" max="16" width="19" customWidth="1"/>
    <col min="17" max="17" width="24" customWidth="1"/>
    <col min="18" max="18" width="30" customWidth="1"/>
  </cols>
  <sheetData>
    <row r="1" spans="1:18" x14ac:dyDescent="0.25">
      <c r="A1" s="1" t="s">
        <v>17</v>
      </c>
      <c r="B1" s="1">
        <v>1024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3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4</v>
      </c>
      <c r="R2" s="1" t="s">
        <v>5</v>
      </c>
    </row>
    <row r="3" spans="1:18" x14ac:dyDescent="0.25">
      <c r="A3" s="1">
        <v>1</v>
      </c>
      <c r="B3" s="1">
        <v>3</v>
      </c>
      <c r="C3" s="1">
        <v>2</v>
      </c>
      <c r="D3" s="1">
        <v>557</v>
      </c>
      <c r="E3" s="1">
        <v>7131</v>
      </c>
      <c r="F3" s="1">
        <v>1091379200</v>
      </c>
      <c r="G3" s="1">
        <v>0</v>
      </c>
      <c r="H3" s="1">
        <v>5</v>
      </c>
      <c r="I3" s="1">
        <v>0</v>
      </c>
      <c r="J3" s="1">
        <v>805.89980979099448</v>
      </c>
      <c r="K3" s="1">
        <v>717945240</v>
      </c>
      <c r="L3" s="1">
        <v>11321</v>
      </c>
      <c r="M3" s="1">
        <v>0</v>
      </c>
      <c r="N3" s="1">
        <v>0</v>
      </c>
      <c r="O3" s="1">
        <v>32768</v>
      </c>
      <c r="P3" s="1">
        <v>8</v>
      </c>
      <c r="Q3" s="1">
        <v>17145</v>
      </c>
      <c r="R3" s="1">
        <v>276081</v>
      </c>
    </row>
    <row r="4" spans="1:18" x14ac:dyDescent="0.25">
      <c r="A4" s="1">
        <v>2</v>
      </c>
      <c r="B4" s="1">
        <v>2</v>
      </c>
      <c r="C4" s="1">
        <v>2</v>
      </c>
      <c r="D4" s="1">
        <v>528</v>
      </c>
      <c r="E4" s="1">
        <v>7174</v>
      </c>
      <c r="F4" s="1">
        <v>1091379200</v>
      </c>
      <c r="G4" s="1">
        <v>0</v>
      </c>
      <c r="H4" s="1">
        <v>4</v>
      </c>
      <c r="I4" s="1">
        <v>0</v>
      </c>
      <c r="J4" s="1">
        <v>823.05918795315119</v>
      </c>
      <c r="K4" s="1">
        <v>737660204</v>
      </c>
      <c r="L4" s="1">
        <v>11436</v>
      </c>
      <c r="M4" s="1">
        <v>0</v>
      </c>
      <c r="N4" s="1">
        <v>0</v>
      </c>
      <c r="O4" s="1">
        <v>32768</v>
      </c>
      <c r="P4" s="1">
        <v>8</v>
      </c>
      <c r="Q4" s="1">
        <v>24403</v>
      </c>
      <c r="R4" s="1">
        <v>290846</v>
      </c>
    </row>
    <row r="5" spans="1:18" x14ac:dyDescent="0.25">
      <c r="A5" s="1">
        <v>3</v>
      </c>
      <c r="B5" s="1">
        <v>2</v>
      </c>
      <c r="C5" s="1">
        <v>3</v>
      </c>
      <c r="D5" s="1">
        <v>116</v>
      </c>
      <c r="E5" s="1">
        <v>7137</v>
      </c>
      <c r="F5" s="1">
        <v>1091379200</v>
      </c>
      <c r="G5" s="1">
        <v>0</v>
      </c>
      <c r="H5" s="1">
        <v>4</v>
      </c>
      <c r="I5" s="1">
        <v>0</v>
      </c>
      <c r="J5" s="1">
        <v>807.98690888701981</v>
      </c>
      <c r="K5" s="1">
        <v>720309968</v>
      </c>
      <c r="L5" s="1">
        <v>11566</v>
      </c>
      <c r="M5" s="1">
        <v>0</v>
      </c>
      <c r="N5" s="1">
        <v>0</v>
      </c>
      <c r="O5" s="1">
        <v>32768</v>
      </c>
      <c r="P5" s="1">
        <v>8</v>
      </c>
      <c r="Q5" s="1">
        <v>26727</v>
      </c>
      <c r="R5" s="1">
        <v>292486</v>
      </c>
    </row>
    <row r="6" spans="1:18" x14ac:dyDescent="0.25">
      <c r="A6" s="1" t="s">
        <v>33</v>
      </c>
      <c r="B6" s="1">
        <f t="shared" ref="B6:R6" si="0">AVERAGE(B3:B5)</f>
        <v>2.3333333333333335</v>
      </c>
      <c r="C6" s="1">
        <f t="shared" si="0"/>
        <v>2.3333333333333335</v>
      </c>
      <c r="D6" s="1">
        <f t="shared" si="0"/>
        <v>400.33333333333331</v>
      </c>
      <c r="E6" s="1">
        <f t="shared" si="0"/>
        <v>7147.333333333333</v>
      </c>
      <c r="F6" s="1">
        <f t="shared" si="0"/>
        <v>1091379200</v>
      </c>
      <c r="G6" s="1">
        <f t="shared" si="0"/>
        <v>0</v>
      </c>
      <c r="H6" s="1">
        <f t="shared" si="0"/>
        <v>4.333333333333333</v>
      </c>
      <c r="I6" s="1">
        <f t="shared" si="0"/>
        <v>0</v>
      </c>
      <c r="J6" s="1">
        <f t="shared" si="0"/>
        <v>812.3153022103885</v>
      </c>
      <c r="K6" s="1">
        <f t="shared" si="0"/>
        <v>725305137.33333337</v>
      </c>
      <c r="L6" s="1">
        <f t="shared" si="0"/>
        <v>11441</v>
      </c>
      <c r="M6" s="1">
        <f t="shared" si="0"/>
        <v>0</v>
      </c>
      <c r="N6" s="1">
        <f t="shared" si="0"/>
        <v>0</v>
      </c>
      <c r="O6" s="1">
        <f t="shared" si="0"/>
        <v>32768</v>
      </c>
      <c r="P6" s="1">
        <f t="shared" si="0"/>
        <v>8</v>
      </c>
      <c r="Q6" s="1">
        <f t="shared" si="0"/>
        <v>22758.333333333332</v>
      </c>
      <c r="R6" s="1">
        <f t="shared" si="0"/>
        <v>286471</v>
      </c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 t="s">
        <v>17</v>
      </c>
      <c r="B8" s="1">
        <v>2048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3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28</v>
      </c>
      <c r="M9" s="1" t="s">
        <v>29</v>
      </c>
      <c r="N9" s="1" t="s">
        <v>30</v>
      </c>
      <c r="O9" s="1" t="s">
        <v>31</v>
      </c>
      <c r="P9" s="1" t="s">
        <v>32</v>
      </c>
      <c r="Q9" s="1" t="s">
        <v>4</v>
      </c>
      <c r="R9" s="1" t="s">
        <v>5</v>
      </c>
    </row>
    <row r="10" spans="1:18" x14ac:dyDescent="0.25">
      <c r="A10" s="1">
        <v>1</v>
      </c>
      <c r="B10" s="1">
        <v>3</v>
      </c>
      <c r="C10" s="1">
        <v>3</v>
      </c>
      <c r="D10" s="1">
        <v>53</v>
      </c>
      <c r="E10" s="1">
        <v>15187</v>
      </c>
      <c r="F10" s="1">
        <v>2165121024</v>
      </c>
      <c r="G10" s="1">
        <v>0</v>
      </c>
      <c r="H10" s="1">
        <v>5</v>
      </c>
      <c r="I10" s="1">
        <v>0</v>
      </c>
      <c r="J10" s="1">
        <v>852.30914278187572</v>
      </c>
      <c r="K10" s="1">
        <v>1617470369</v>
      </c>
      <c r="L10" s="1">
        <v>12242</v>
      </c>
      <c r="M10" s="1">
        <v>0</v>
      </c>
      <c r="N10" s="1">
        <v>0</v>
      </c>
      <c r="O10" s="1">
        <v>28672</v>
      </c>
      <c r="P10" s="1">
        <v>7</v>
      </c>
      <c r="Q10" s="1">
        <v>55605</v>
      </c>
      <c r="R10" s="1">
        <v>561669</v>
      </c>
    </row>
    <row r="11" spans="1:18" x14ac:dyDescent="0.25">
      <c r="A11" s="1">
        <v>2</v>
      </c>
      <c r="B11" s="1">
        <v>3</v>
      </c>
      <c r="C11" s="1">
        <v>3</v>
      </c>
      <c r="D11" s="1">
        <v>1001</v>
      </c>
      <c r="E11" s="1">
        <v>15270</v>
      </c>
      <c r="F11" s="1">
        <v>2165121024</v>
      </c>
      <c r="G11" s="1">
        <v>0</v>
      </c>
      <c r="H11" s="1">
        <v>5</v>
      </c>
      <c r="I11" s="1">
        <v>0</v>
      </c>
      <c r="J11" s="1">
        <v>843.77590096286099</v>
      </c>
      <c r="K11" s="1">
        <v>1610028451</v>
      </c>
      <c r="L11" s="1">
        <v>11430</v>
      </c>
      <c r="M11" s="1">
        <v>0</v>
      </c>
      <c r="N11" s="1">
        <v>0</v>
      </c>
      <c r="O11" s="1">
        <v>32768</v>
      </c>
      <c r="P11" s="1">
        <v>8</v>
      </c>
      <c r="Q11" s="1">
        <v>46238</v>
      </c>
      <c r="R11" s="1">
        <v>559489</v>
      </c>
    </row>
    <row r="12" spans="1:18" x14ac:dyDescent="0.25">
      <c r="A12" s="1">
        <v>3</v>
      </c>
      <c r="B12" s="1">
        <v>3</v>
      </c>
      <c r="C12" s="1">
        <v>3</v>
      </c>
      <c r="D12" s="1">
        <v>1068</v>
      </c>
      <c r="E12" s="1">
        <v>15141</v>
      </c>
      <c r="F12" s="1">
        <v>2165121024</v>
      </c>
      <c r="G12" s="1">
        <v>0</v>
      </c>
      <c r="H12" s="1">
        <v>5</v>
      </c>
      <c r="I12" s="1">
        <v>0</v>
      </c>
      <c r="J12" s="1">
        <v>837.69586576826532</v>
      </c>
      <c r="K12" s="1">
        <v>1584917618</v>
      </c>
      <c r="L12" s="1">
        <v>12409</v>
      </c>
      <c r="M12" s="1">
        <v>0</v>
      </c>
      <c r="N12" s="1">
        <v>0</v>
      </c>
      <c r="O12" s="1">
        <v>32768</v>
      </c>
      <c r="P12" s="1">
        <v>8</v>
      </c>
      <c r="Q12" s="1">
        <v>46970</v>
      </c>
      <c r="R12" s="1">
        <v>561247</v>
      </c>
    </row>
    <row r="13" spans="1:18" x14ac:dyDescent="0.25">
      <c r="A13" s="1" t="s">
        <v>33</v>
      </c>
      <c r="B13" s="1">
        <f t="shared" ref="B13:R13" si="1">AVERAGE(B10:B12)</f>
        <v>3</v>
      </c>
      <c r="C13" s="1">
        <f t="shared" si="1"/>
        <v>3</v>
      </c>
      <c r="D13" s="1">
        <f t="shared" si="1"/>
        <v>707.33333333333337</v>
      </c>
      <c r="E13" s="1">
        <f t="shared" si="1"/>
        <v>15199.333333333334</v>
      </c>
      <c r="F13" s="1">
        <f t="shared" si="1"/>
        <v>2165121024</v>
      </c>
      <c r="G13" s="1">
        <f t="shared" si="1"/>
        <v>0</v>
      </c>
      <c r="H13" s="1">
        <f t="shared" si="1"/>
        <v>5</v>
      </c>
      <c r="I13" s="1">
        <f t="shared" si="1"/>
        <v>0</v>
      </c>
      <c r="J13" s="1">
        <f t="shared" si="1"/>
        <v>844.59363650433397</v>
      </c>
      <c r="K13" s="1">
        <f t="shared" si="1"/>
        <v>1604138812.6666667</v>
      </c>
      <c r="L13" s="1">
        <f t="shared" si="1"/>
        <v>12027</v>
      </c>
      <c r="M13" s="1">
        <f t="shared" si="1"/>
        <v>0</v>
      </c>
      <c r="N13" s="1">
        <f t="shared" si="1"/>
        <v>0</v>
      </c>
      <c r="O13" s="1">
        <f t="shared" si="1"/>
        <v>31402.666666666668</v>
      </c>
      <c r="P13" s="1">
        <f t="shared" si="1"/>
        <v>7.666666666666667</v>
      </c>
      <c r="Q13" s="1">
        <f t="shared" si="1"/>
        <v>49604.333333333336</v>
      </c>
      <c r="R13" s="1">
        <f t="shared" si="1"/>
        <v>560801.66666666663</v>
      </c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 t="s">
        <v>17</v>
      </c>
      <c r="B15" s="1">
        <v>4096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3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26</v>
      </c>
      <c r="K16" s="1" t="s">
        <v>27</v>
      </c>
      <c r="L16" s="1" t="s">
        <v>28</v>
      </c>
      <c r="M16" s="1" t="s">
        <v>29</v>
      </c>
      <c r="N16" s="1" t="s">
        <v>30</v>
      </c>
      <c r="O16" s="1" t="s">
        <v>31</v>
      </c>
      <c r="P16" s="1" t="s">
        <v>32</v>
      </c>
      <c r="Q16" s="1" t="s">
        <v>4</v>
      </c>
      <c r="R16" s="1" t="s">
        <v>5</v>
      </c>
    </row>
    <row r="17" spans="1:18" x14ac:dyDescent="0.25">
      <c r="A17" s="1">
        <v>1</v>
      </c>
      <c r="B17" s="1">
        <v>4</v>
      </c>
      <c r="C17" s="1">
        <v>3</v>
      </c>
      <c r="D17" s="1">
        <v>95</v>
      </c>
      <c r="E17" s="1">
        <v>26009</v>
      </c>
      <c r="F17" s="1">
        <v>4312604672</v>
      </c>
      <c r="G17" s="1">
        <v>0</v>
      </c>
      <c r="H17" s="1">
        <v>6</v>
      </c>
      <c r="I17" s="1">
        <v>0</v>
      </c>
      <c r="J17" s="1">
        <v>681.92323033146204</v>
      </c>
      <c r="K17" s="1">
        <v>2216549531</v>
      </c>
      <c r="L17" s="1">
        <v>330852</v>
      </c>
      <c r="M17" s="1">
        <v>0</v>
      </c>
      <c r="N17" s="1">
        <v>0</v>
      </c>
      <c r="O17" s="1">
        <v>28672</v>
      </c>
      <c r="P17" s="1">
        <v>7</v>
      </c>
      <c r="Q17" s="1">
        <v>104629</v>
      </c>
      <c r="R17" s="1">
        <v>1116455</v>
      </c>
    </row>
    <row r="18" spans="1:18" x14ac:dyDescent="0.25">
      <c r="A18" s="1">
        <v>2</v>
      </c>
      <c r="B18" s="1">
        <v>4</v>
      </c>
      <c r="C18" s="1">
        <v>4</v>
      </c>
      <c r="D18" s="1">
        <v>126</v>
      </c>
      <c r="E18" s="1">
        <v>26270</v>
      </c>
      <c r="F18" s="1">
        <v>4312604672</v>
      </c>
      <c r="G18" s="1">
        <v>0</v>
      </c>
      <c r="H18" s="1">
        <v>6</v>
      </c>
      <c r="I18" s="1">
        <v>0</v>
      </c>
      <c r="J18" s="1">
        <v>733.05828158075087</v>
      </c>
      <c r="K18" s="1">
        <v>2406601193</v>
      </c>
      <c r="L18" s="1">
        <v>254366</v>
      </c>
      <c r="M18" s="1">
        <v>0</v>
      </c>
      <c r="N18" s="1">
        <v>0</v>
      </c>
      <c r="O18" s="1">
        <v>28672</v>
      </c>
      <c r="P18" s="1">
        <v>7</v>
      </c>
      <c r="Q18" s="1">
        <v>101470</v>
      </c>
      <c r="R18" s="1">
        <v>1110823</v>
      </c>
    </row>
    <row r="19" spans="1:18" x14ac:dyDescent="0.25">
      <c r="A19" s="1">
        <v>3</v>
      </c>
      <c r="B19" s="1">
        <v>4</v>
      </c>
      <c r="C19" s="1">
        <v>3</v>
      </c>
      <c r="D19" s="1">
        <v>90</v>
      </c>
      <c r="E19" s="1">
        <v>25723</v>
      </c>
      <c r="F19" s="1">
        <v>4312604672</v>
      </c>
      <c r="G19" s="1">
        <v>0</v>
      </c>
      <c r="H19" s="1">
        <v>6</v>
      </c>
      <c r="I19" s="1">
        <v>0</v>
      </c>
      <c r="J19" s="1">
        <v>679.60456049766719</v>
      </c>
      <c r="K19" s="1">
        <v>2184716252</v>
      </c>
      <c r="L19" s="1">
        <v>324323</v>
      </c>
      <c r="M19" s="1">
        <v>0</v>
      </c>
      <c r="N19" s="1">
        <v>0</v>
      </c>
      <c r="O19" s="1">
        <v>28672</v>
      </c>
      <c r="P19" s="1">
        <v>7</v>
      </c>
      <c r="Q19" s="1">
        <v>90127</v>
      </c>
      <c r="R19" s="1">
        <v>1132149</v>
      </c>
    </row>
    <row r="20" spans="1:18" x14ac:dyDescent="0.25">
      <c r="A20" s="1" t="s">
        <v>33</v>
      </c>
      <c r="B20" s="1">
        <f t="shared" ref="B20:R20" si="2">AVERAGE(B17:B19)</f>
        <v>4</v>
      </c>
      <c r="C20" s="1">
        <f t="shared" si="2"/>
        <v>3.3333333333333335</v>
      </c>
      <c r="D20" s="1">
        <f t="shared" si="2"/>
        <v>103.66666666666667</v>
      </c>
      <c r="E20" s="1">
        <f t="shared" si="2"/>
        <v>26000.666666666668</v>
      </c>
      <c r="F20" s="1">
        <f t="shared" si="2"/>
        <v>4312604672</v>
      </c>
      <c r="G20" s="1">
        <f t="shared" si="2"/>
        <v>0</v>
      </c>
      <c r="H20" s="1">
        <f t="shared" si="2"/>
        <v>6</v>
      </c>
      <c r="I20" s="1">
        <f t="shared" si="2"/>
        <v>0</v>
      </c>
      <c r="J20" s="1">
        <f t="shared" si="2"/>
        <v>698.19535746996007</v>
      </c>
      <c r="K20" s="1">
        <f t="shared" si="2"/>
        <v>2269288992</v>
      </c>
      <c r="L20" s="1">
        <f t="shared" si="2"/>
        <v>303180.33333333331</v>
      </c>
      <c r="M20" s="1">
        <f t="shared" si="2"/>
        <v>0</v>
      </c>
      <c r="N20" s="1">
        <f t="shared" si="2"/>
        <v>0</v>
      </c>
      <c r="O20" s="1">
        <f t="shared" si="2"/>
        <v>28672</v>
      </c>
      <c r="P20" s="1">
        <f t="shared" si="2"/>
        <v>7</v>
      </c>
      <c r="Q20" s="1">
        <f t="shared" si="2"/>
        <v>98742</v>
      </c>
      <c r="R20" s="1">
        <f t="shared" si="2"/>
        <v>1119809</v>
      </c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17</v>
      </c>
      <c r="B22" s="1">
        <v>8192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 s="1" t="s">
        <v>21</v>
      </c>
      <c r="E23" s="1" t="s">
        <v>3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  <c r="N23" s="1" t="s">
        <v>30</v>
      </c>
      <c r="O23" s="1" t="s">
        <v>31</v>
      </c>
      <c r="P23" s="1" t="s">
        <v>32</v>
      </c>
      <c r="Q23" s="1" t="s">
        <v>4</v>
      </c>
      <c r="R23" s="1" t="s">
        <v>5</v>
      </c>
    </row>
    <row r="24" spans="1:18" x14ac:dyDescent="0.25">
      <c r="A24" s="1">
        <v>1</v>
      </c>
      <c r="B24" s="1">
        <v>5</v>
      </c>
      <c r="C24" s="1">
        <v>4</v>
      </c>
      <c r="D24" s="1">
        <v>80</v>
      </c>
      <c r="E24" s="1">
        <v>45437</v>
      </c>
      <c r="F24" s="1">
        <v>8607571968</v>
      </c>
      <c r="G24" s="1">
        <v>0</v>
      </c>
      <c r="H24" s="1">
        <v>7</v>
      </c>
      <c r="I24" s="1">
        <v>0</v>
      </c>
      <c r="J24" s="1">
        <v>467.97913410956789</v>
      </c>
      <c r="K24" s="1">
        <v>2657499564</v>
      </c>
      <c r="L24" s="1">
        <v>1255198</v>
      </c>
      <c r="M24" s="1">
        <v>0</v>
      </c>
      <c r="N24" s="1">
        <v>0</v>
      </c>
      <c r="O24" s="1">
        <v>32768</v>
      </c>
      <c r="P24" s="1">
        <v>8</v>
      </c>
      <c r="Q24" s="1">
        <v>122315</v>
      </c>
      <c r="R24" s="1">
        <v>2174744</v>
      </c>
    </row>
    <row r="25" spans="1:18" x14ac:dyDescent="0.25">
      <c r="A25" s="1">
        <v>2</v>
      </c>
      <c r="B25" s="1">
        <v>4</v>
      </c>
      <c r="C25" s="1">
        <v>5</v>
      </c>
      <c r="D25" s="1">
        <v>100</v>
      </c>
      <c r="E25" s="1">
        <v>45179</v>
      </c>
      <c r="F25" s="1">
        <v>8607571968</v>
      </c>
      <c r="G25" s="1">
        <v>0</v>
      </c>
      <c r="H25" s="1">
        <v>6</v>
      </c>
      <c r="I25" s="1">
        <v>0</v>
      </c>
      <c r="J25" s="1">
        <v>463.0806054810289</v>
      </c>
      <c r="K25" s="1">
        <v>2614687999</v>
      </c>
      <c r="L25" s="1">
        <v>1299789</v>
      </c>
      <c r="M25" s="1">
        <v>0</v>
      </c>
      <c r="N25" s="1">
        <v>0</v>
      </c>
      <c r="O25" s="1">
        <v>28672</v>
      </c>
      <c r="P25" s="1">
        <v>7</v>
      </c>
      <c r="Q25" s="1">
        <v>157804</v>
      </c>
      <c r="R25" s="1">
        <v>2178371</v>
      </c>
    </row>
    <row r="26" spans="1:18" x14ac:dyDescent="0.25">
      <c r="A26" s="1">
        <v>3</v>
      </c>
      <c r="B26" s="1">
        <v>4</v>
      </c>
      <c r="C26" s="1">
        <v>5</v>
      </c>
      <c r="D26" s="1">
        <v>100</v>
      </c>
      <c r="E26" s="1">
        <v>45602</v>
      </c>
      <c r="F26" s="1">
        <v>8607571968</v>
      </c>
      <c r="G26" s="1">
        <v>0</v>
      </c>
      <c r="H26" s="1">
        <v>6</v>
      </c>
      <c r="I26" s="1">
        <v>0</v>
      </c>
      <c r="J26" s="1">
        <v>449.5374295677347</v>
      </c>
      <c r="K26" s="1">
        <v>2561982362</v>
      </c>
      <c r="L26" s="1">
        <v>1271886</v>
      </c>
      <c r="M26" s="1">
        <v>0</v>
      </c>
      <c r="N26" s="1">
        <v>0</v>
      </c>
      <c r="O26" s="1">
        <v>28672</v>
      </c>
      <c r="P26" s="1">
        <v>7</v>
      </c>
      <c r="Q26" s="1">
        <v>114234</v>
      </c>
      <c r="R26" s="1">
        <v>2179208</v>
      </c>
    </row>
    <row r="27" spans="1:18" x14ac:dyDescent="0.25">
      <c r="A27" s="1" t="s">
        <v>33</v>
      </c>
      <c r="B27" s="1">
        <f t="shared" ref="B27:R27" si="3">AVERAGE(B24:B26)</f>
        <v>4.333333333333333</v>
      </c>
      <c r="C27" s="1">
        <f t="shared" si="3"/>
        <v>4.666666666666667</v>
      </c>
      <c r="D27" s="1">
        <f t="shared" si="3"/>
        <v>93.333333333333329</v>
      </c>
      <c r="E27" s="1">
        <f t="shared" si="3"/>
        <v>45406</v>
      </c>
      <c r="F27" s="1">
        <f t="shared" si="3"/>
        <v>8607571968</v>
      </c>
      <c r="G27" s="1">
        <f t="shared" si="3"/>
        <v>0</v>
      </c>
      <c r="H27" s="1">
        <f t="shared" si="3"/>
        <v>6.333333333333333</v>
      </c>
      <c r="I27" s="1">
        <f t="shared" si="3"/>
        <v>0</v>
      </c>
      <c r="J27" s="1">
        <f t="shared" si="3"/>
        <v>460.1990563861105</v>
      </c>
      <c r="K27" s="1">
        <f t="shared" si="3"/>
        <v>2611389975</v>
      </c>
      <c r="L27" s="1">
        <f t="shared" si="3"/>
        <v>1275624.3333333333</v>
      </c>
      <c r="M27" s="1">
        <f t="shared" si="3"/>
        <v>0</v>
      </c>
      <c r="N27" s="1">
        <f t="shared" si="3"/>
        <v>0</v>
      </c>
      <c r="O27" s="1">
        <f t="shared" si="3"/>
        <v>30037.333333333332</v>
      </c>
      <c r="P27" s="1">
        <f t="shared" si="3"/>
        <v>7.333333333333333</v>
      </c>
      <c r="Q27" s="1">
        <f t="shared" si="3"/>
        <v>131451</v>
      </c>
      <c r="R27" s="1">
        <f t="shared" si="3"/>
        <v>2177441</v>
      </c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 t="s">
        <v>17</v>
      </c>
      <c r="B29" s="1">
        <v>12288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 s="1" t="s">
        <v>21</v>
      </c>
      <c r="E30" s="1" t="s">
        <v>3</v>
      </c>
      <c r="F30" s="1" t="s">
        <v>22</v>
      </c>
      <c r="G30" s="1" t="s">
        <v>23</v>
      </c>
      <c r="H30" s="1" t="s">
        <v>24</v>
      </c>
      <c r="I30" s="1" t="s">
        <v>25</v>
      </c>
      <c r="J30" s="1" t="s">
        <v>26</v>
      </c>
      <c r="K30" s="1" t="s">
        <v>27</v>
      </c>
      <c r="L30" s="1" t="s">
        <v>28</v>
      </c>
      <c r="M30" s="1" t="s">
        <v>29</v>
      </c>
      <c r="N30" s="1" t="s">
        <v>30</v>
      </c>
      <c r="O30" s="1" t="s">
        <v>31</v>
      </c>
      <c r="P30" s="1" t="s">
        <v>32</v>
      </c>
      <c r="Q30" s="1" t="s">
        <v>4</v>
      </c>
      <c r="R30" s="1" t="s">
        <v>5</v>
      </c>
    </row>
    <row r="31" spans="1:18" x14ac:dyDescent="0.25">
      <c r="A31" s="1">
        <v>1</v>
      </c>
      <c r="B31" s="1">
        <v>5</v>
      </c>
      <c r="C31" s="1">
        <v>7</v>
      </c>
      <c r="D31" s="1">
        <v>82</v>
      </c>
      <c r="E31" s="1">
        <v>62299</v>
      </c>
      <c r="F31" s="1">
        <v>12902539264</v>
      </c>
      <c r="G31" s="1">
        <v>0</v>
      </c>
      <c r="H31" s="1">
        <v>7</v>
      </c>
      <c r="I31" s="1">
        <v>0</v>
      </c>
      <c r="J31" s="1">
        <v>373.87106299364279</v>
      </c>
      <c r="K31" s="1">
        <v>2910934596</v>
      </c>
      <c r="L31" s="1">
        <v>2229434</v>
      </c>
      <c r="M31" s="1">
        <v>0</v>
      </c>
      <c r="N31" s="1">
        <v>0</v>
      </c>
      <c r="O31" s="1">
        <v>28672</v>
      </c>
      <c r="P31" s="1">
        <v>7</v>
      </c>
      <c r="Q31" s="1">
        <v>135869</v>
      </c>
      <c r="R31" s="1">
        <v>3250435</v>
      </c>
    </row>
    <row r="32" spans="1:18" x14ac:dyDescent="0.25">
      <c r="A32" s="1">
        <v>2</v>
      </c>
      <c r="B32" s="1">
        <v>5</v>
      </c>
      <c r="C32" s="1">
        <v>6</v>
      </c>
      <c r="D32" s="1">
        <v>83</v>
      </c>
      <c r="E32" s="1">
        <v>62353</v>
      </c>
      <c r="F32" s="1">
        <v>12902539264</v>
      </c>
      <c r="G32" s="1">
        <v>0</v>
      </c>
      <c r="H32" s="1">
        <v>7</v>
      </c>
      <c r="I32" s="1">
        <v>0</v>
      </c>
      <c r="J32" s="1">
        <v>357.3146389080469</v>
      </c>
      <c r="K32" s="1">
        <v>2784474538</v>
      </c>
      <c r="L32" s="1">
        <v>2318514</v>
      </c>
      <c r="M32" s="1">
        <v>0</v>
      </c>
      <c r="N32" s="1">
        <v>0</v>
      </c>
      <c r="O32" s="1">
        <v>28672</v>
      </c>
      <c r="P32" s="1">
        <v>7</v>
      </c>
      <c r="Q32" s="1">
        <v>183402</v>
      </c>
      <c r="R32" s="1">
        <v>3204363</v>
      </c>
    </row>
    <row r="33" spans="1:18" x14ac:dyDescent="0.25">
      <c r="A33" s="1">
        <v>3</v>
      </c>
      <c r="B33" s="1">
        <v>5</v>
      </c>
      <c r="C33" s="1">
        <v>7</v>
      </c>
      <c r="D33" s="1">
        <v>53</v>
      </c>
      <c r="E33" s="1">
        <v>62326</v>
      </c>
      <c r="F33" s="1">
        <v>12902539264</v>
      </c>
      <c r="G33" s="1">
        <v>0</v>
      </c>
      <c r="H33" s="1">
        <v>7</v>
      </c>
      <c r="I33" s="1">
        <v>0</v>
      </c>
      <c r="J33" s="1">
        <v>354.91214839775989</v>
      </c>
      <c r="K33" s="1">
        <v>2764508836</v>
      </c>
      <c r="L33" s="1">
        <v>2294953</v>
      </c>
      <c r="M33" s="1">
        <v>0</v>
      </c>
      <c r="N33" s="1">
        <v>0</v>
      </c>
      <c r="O33" s="1">
        <v>28672</v>
      </c>
      <c r="P33" s="1">
        <v>7</v>
      </c>
      <c r="Q33" s="1">
        <v>173449</v>
      </c>
      <c r="R33" s="1">
        <v>3227619</v>
      </c>
    </row>
    <row r="34" spans="1:18" x14ac:dyDescent="0.25">
      <c r="A34" s="1" t="s">
        <v>33</v>
      </c>
      <c r="B34" s="1">
        <f t="shared" ref="B34:R34" si="4">AVERAGE(B31:B33)</f>
        <v>5</v>
      </c>
      <c r="C34" s="1">
        <f t="shared" si="4"/>
        <v>6.666666666666667</v>
      </c>
      <c r="D34" s="1">
        <f t="shared" si="4"/>
        <v>72.666666666666671</v>
      </c>
      <c r="E34" s="1">
        <f t="shared" si="4"/>
        <v>62326</v>
      </c>
      <c r="F34" s="1">
        <f t="shared" si="4"/>
        <v>12902539264</v>
      </c>
      <c r="G34" s="1">
        <f t="shared" si="4"/>
        <v>0</v>
      </c>
      <c r="H34" s="1">
        <f t="shared" si="4"/>
        <v>7</v>
      </c>
      <c r="I34" s="1">
        <f t="shared" si="4"/>
        <v>0</v>
      </c>
      <c r="J34" s="1">
        <f t="shared" si="4"/>
        <v>362.03261676648322</v>
      </c>
      <c r="K34" s="1">
        <f t="shared" si="4"/>
        <v>2819972656.6666665</v>
      </c>
      <c r="L34" s="1">
        <f t="shared" si="4"/>
        <v>2280967</v>
      </c>
      <c r="M34" s="1">
        <f t="shared" si="4"/>
        <v>0</v>
      </c>
      <c r="N34" s="1">
        <f t="shared" si="4"/>
        <v>0</v>
      </c>
      <c r="O34" s="1">
        <f t="shared" si="4"/>
        <v>28672</v>
      </c>
      <c r="P34" s="1">
        <f t="shared" si="4"/>
        <v>7</v>
      </c>
      <c r="Q34" s="1">
        <f t="shared" si="4"/>
        <v>164240</v>
      </c>
      <c r="R34" s="1">
        <f t="shared" si="4"/>
        <v>3227472.3333333335</v>
      </c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 t="s">
        <v>17</v>
      </c>
      <c r="B36" s="1">
        <v>16384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 s="1" t="s">
        <v>21</v>
      </c>
      <c r="E37" s="1" t="s">
        <v>3</v>
      </c>
      <c r="F37" s="1" t="s">
        <v>22</v>
      </c>
      <c r="G37" s="1" t="s">
        <v>23</v>
      </c>
      <c r="H37" s="1" t="s">
        <v>24</v>
      </c>
      <c r="I37" s="1" t="s">
        <v>25</v>
      </c>
      <c r="J37" s="1" t="s">
        <v>26</v>
      </c>
      <c r="K37" s="1" t="s">
        <v>27</v>
      </c>
      <c r="L37" s="1" t="s">
        <v>28</v>
      </c>
      <c r="M37" s="1" t="s">
        <v>29</v>
      </c>
      <c r="N37" s="1" t="s">
        <v>30</v>
      </c>
      <c r="O37" s="1" t="s">
        <v>31</v>
      </c>
      <c r="P37" s="1" t="s">
        <v>32</v>
      </c>
      <c r="Q37" s="1" t="s">
        <v>4</v>
      </c>
      <c r="R37" s="1" t="s">
        <v>5</v>
      </c>
    </row>
    <row r="38" spans="1:18" x14ac:dyDescent="0.25">
      <c r="A38" s="1">
        <v>1</v>
      </c>
      <c r="B38" s="1">
        <v>4</v>
      </c>
      <c r="C38" s="1">
        <v>8</v>
      </c>
      <c r="D38" s="1">
        <v>83</v>
      </c>
      <c r="E38" s="1">
        <v>80370</v>
      </c>
      <c r="F38" s="1">
        <v>17197506560</v>
      </c>
      <c r="G38" s="1">
        <v>0</v>
      </c>
      <c r="H38" s="1">
        <v>6</v>
      </c>
      <c r="I38" s="1">
        <v>0</v>
      </c>
      <c r="J38" s="1">
        <v>298.13260486299492</v>
      </c>
      <c r="K38" s="1">
        <v>2994604139</v>
      </c>
      <c r="L38" s="1">
        <v>3278109</v>
      </c>
      <c r="M38" s="1">
        <v>0</v>
      </c>
      <c r="N38" s="1">
        <v>0</v>
      </c>
      <c r="O38" s="1">
        <v>28672</v>
      </c>
      <c r="P38" s="1">
        <v>7</v>
      </c>
      <c r="Q38" s="1">
        <v>171710</v>
      </c>
      <c r="R38" s="1">
        <v>4256488</v>
      </c>
    </row>
    <row r="39" spans="1:18" x14ac:dyDescent="0.25">
      <c r="A39" s="1">
        <v>2</v>
      </c>
      <c r="B39" s="1">
        <v>5</v>
      </c>
      <c r="C39" s="1">
        <v>9</v>
      </c>
      <c r="D39" s="1">
        <v>88</v>
      </c>
      <c r="E39" s="1">
        <v>80440</v>
      </c>
      <c r="F39" s="1">
        <v>17197506560</v>
      </c>
      <c r="G39" s="1">
        <v>0</v>
      </c>
      <c r="H39" s="1">
        <v>7</v>
      </c>
      <c r="I39" s="1">
        <v>0</v>
      </c>
      <c r="J39" s="1">
        <v>307.67554709005242</v>
      </c>
      <c r="K39" s="1">
        <v>3093119055</v>
      </c>
      <c r="L39" s="1">
        <v>3273894</v>
      </c>
      <c r="M39" s="1">
        <v>0</v>
      </c>
      <c r="N39" s="1">
        <v>0</v>
      </c>
      <c r="O39" s="1">
        <v>28672</v>
      </c>
      <c r="P39" s="1">
        <v>7</v>
      </c>
      <c r="Q39" s="1">
        <v>208802</v>
      </c>
      <c r="R39" s="1">
        <v>4296522</v>
      </c>
    </row>
    <row r="40" spans="1:18" x14ac:dyDescent="0.25">
      <c r="A40" s="1">
        <v>3</v>
      </c>
      <c r="B40" s="1">
        <v>4</v>
      </c>
      <c r="C40" s="1">
        <v>9</v>
      </c>
      <c r="D40" s="1">
        <v>197</v>
      </c>
      <c r="E40" s="1">
        <v>79966</v>
      </c>
      <c r="F40" s="1">
        <v>17197506560</v>
      </c>
      <c r="G40" s="1">
        <v>0</v>
      </c>
      <c r="H40" s="1">
        <v>6</v>
      </c>
      <c r="I40" s="1">
        <v>0</v>
      </c>
      <c r="J40" s="1">
        <v>276.64060162337262</v>
      </c>
      <c r="K40" s="1">
        <v>2764706663</v>
      </c>
      <c r="L40" s="1">
        <v>3338508</v>
      </c>
      <c r="M40" s="1">
        <v>0</v>
      </c>
      <c r="N40" s="1">
        <v>0</v>
      </c>
      <c r="O40" s="1">
        <v>28672</v>
      </c>
      <c r="P40" s="1">
        <v>7</v>
      </c>
      <c r="Q40" s="1">
        <v>176164</v>
      </c>
      <c r="R40" s="1">
        <v>4304734</v>
      </c>
    </row>
    <row r="41" spans="1:18" x14ac:dyDescent="0.25">
      <c r="A41" s="1" t="s">
        <v>33</v>
      </c>
      <c r="B41" s="1">
        <f t="shared" ref="B41:R41" si="5">AVERAGE(B38:B40)</f>
        <v>4.333333333333333</v>
      </c>
      <c r="C41" s="1">
        <f t="shared" si="5"/>
        <v>8.6666666666666661</v>
      </c>
      <c r="D41" s="1">
        <f t="shared" si="5"/>
        <v>122.66666666666667</v>
      </c>
      <c r="E41" s="1">
        <f t="shared" si="5"/>
        <v>80258.666666666672</v>
      </c>
      <c r="F41" s="1">
        <f t="shared" si="5"/>
        <v>17197506560</v>
      </c>
      <c r="G41" s="1">
        <f t="shared" si="5"/>
        <v>0</v>
      </c>
      <c r="H41" s="1">
        <f t="shared" si="5"/>
        <v>6.333333333333333</v>
      </c>
      <c r="I41" s="1">
        <f t="shared" si="5"/>
        <v>0</v>
      </c>
      <c r="J41" s="1">
        <f t="shared" si="5"/>
        <v>294.14958452547336</v>
      </c>
      <c r="K41" s="1">
        <f t="shared" si="5"/>
        <v>2950809952.3333335</v>
      </c>
      <c r="L41" s="1">
        <f t="shared" si="5"/>
        <v>3296837</v>
      </c>
      <c r="M41" s="1">
        <f t="shared" si="5"/>
        <v>0</v>
      </c>
      <c r="N41" s="1">
        <f t="shared" si="5"/>
        <v>0</v>
      </c>
      <c r="O41" s="1">
        <f t="shared" si="5"/>
        <v>28672</v>
      </c>
      <c r="P41" s="1">
        <f t="shared" si="5"/>
        <v>7</v>
      </c>
      <c r="Q41" s="1">
        <f t="shared" si="5"/>
        <v>185558.66666666666</v>
      </c>
      <c r="R41" s="1">
        <f t="shared" si="5"/>
        <v>4285914.666666667</v>
      </c>
    </row>
    <row r="42" spans="1:1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2"/>
  <sheetViews>
    <sheetView workbookViewId="0"/>
  </sheetViews>
  <sheetFormatPr defaultRowHeight="15" x14ac:dyDescent="0.25"/>
  <cols>
    <col min="1" max="1" width="12" customWidth="1"/>
    <col min="2" max="6" width="19" customWidth="1"/>
    <col min="7" max="7" width="23" customWidth="1"/>
    <col min="8" max="8" width="22" customWidth="1"/>
    <col min="9" max="12" width="19" customWidth="1"/>
    <col min="13" max="13" width="22" customWidth="1"/>
    <col min="14" max="16" width="19" customWidth="1"/>
    <col min="17" max="17" width="24" customWidth="1"/>
    <col min="18" max="18" width="30" customWidth="1"/>
  </cols>
  <sheetData>
    <row r="1" spans="1:18" x14ac:dyDescent="0.25">
      <c r="A1" s="1" t="s">
        <v>17</v>
      </c>
      <c r="B1" s="1">
        <v>1024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3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4</v>
      </c>
      <c r="R2" s="1" t="s">
        <v>5</v>
      </c>
    </row>
    <row r="3" spans="1:18" x14ac:dyDescent="0.25">
      <c r="A3" s="1">
        <v>1</v>
      </c>
      <c r="B3" s="1">
        <v>2</v>
      </c>
      <c r="C3" s="1">
        <v>2</v>
      </c>
      <c r="D3" s="1">
        <v>400</v>
      </c>
      <c r="E3" s="1">
        <v>10032</v>
      </c>
      <c r="F3" s="1">
        <v>1091379200</v>
      </c>
      <c r="G3" s="1">
        <v>0</v>
      </c>
      <c r="H3" s="1">
        <v>4</v>
      </c>
      <c r="I3" s="1">
        <v>0</v>
      </c>
      <c r="J3" s="1">
        <v>886.98836929212359</v>
      </c>
      <c r="K3" s="1">
        <v>1111849310</v>
      </c>
      <c r="L3" s="1">
        <v>10216</v>
      </c>
      <c r="M3" s="1">
        <v>0</v>
      </c>
      <c r="N3" s="1">
        <v>0</v>
      </c>
      <c r="O3" s="1">
        <v>1109590016</v>
      </c>
      <c r="P3" s="1">
        <v>270896</v>
      </c>
      <c r="Q3" s="1">
        <v>22967</v>
      </c>
      <c r="R3" s="1">
        <v>281112</v>
      </c>
    </row>
    <row r="4" spans="1:18" x14ac:dyDescent="0.25">
      <c r="A4" s="1">
        <v>2</v>
      </c>
      <c r="B4" s="1">
        <v>2</v>
      </c>
      <c r="C4" s="1">
        <v>1</v>
      </c>
      <c r="D4" s="1">
        <v>382</v>
      </c>
      <c r="E4" s="1">
        <v>9970</v>
      </c>
      <c r="F4" s="1">
        <v>1091379200</v>
      </c>
      <c r="G4" s="1">
        <v>0</v>
      </c>
      <c r="H4" s="1">
        <v>4</v>
      </c>
      <c r="I4" s="1">
        <v>0</v>
      </c>
      <c r="J4" s="1">
        <v>884.70102598053961</v>
      </c>
      <c r="K4" s="1">
        <v>1102235708</v>
      </c>
      <c r="L4" s="1">
        <v>10446</v>
      </c>
      <c r="M4" s="1">
        <v>0</v>
      </c>
      <c r="N4" s="1">
        <v>0</v>
      </c>
      <c r="O4" s="1">
        <v>1099993088</v>
      </c>
      <c r="P4" s="1">
        <v>268553</v>
      </c>
      <c r="Q4" s="1">
        <v>21375</v>
      </c>
      <c r="R4" s="1">
        <v>278999</v>
      </c>
    </row>
    <row r="5" spans="1:18" x14ac:dyDescent="0.25">
      <c r="A5" s="1">
        <v>3</v>
      </c>
      <c r="B5" s="1">
        <v>2</v>
      </c>
      <c r="C5" s="1">
        <v>2</v>
      </c>
      <c r="D5" s="1">
        <v>87</v>
      </c>
      <c r="E5" s="1">
        <v>9759</v>
      </c>
      <c r="F5" s="1">
        <v>1091379200</v>
      </c>
      <c r="G5" s="1">
        <v>0</v>
      </c>
      <c r="H5" s="1">
        <v>4</v>
      </c>
      <c r="I5" s="1">
        <v>0</v>
      </c>
      <c r="J5" s="1">
        <v>917.71167203033713</v>
      </c>
      <c r="K5" s="1">
        <v>1119051740</v>
      </c>
      <c r="L5" s="1">
        <v>10206</v>
      </c>
      <c r="M5" s="1">
        <v>0</v>
      </c>
      <c r="N5" s="1">
        <v>0</v>
      </c>
      <c r="O5" s="1">
        <v>1116778496</v>
      </c>
      <c r="P5" s="1">
        <v>272651</v>
      </c>
      <c r="Q5" s="1">
        <v>24077</v>
      </c>
      <c r="R5" s="1">
        <v>282857</v>
      </c>
    </row>
    <row r="6" spans="1:18" x14ac:dyDescent="0.25">
      <c r="A6" s="1" t="s">
        <v>33</v>
      </c>
      <c r="B6" s="1">
        <f t="shared" ref="B6:R6" si="0">AVERAGE(B3:B5)</f>
        <v>2</v>
      </c>
      <c r="C6" s="1">
        <f t="shared" si="0"/>
        <v>1.6666666666666667</v>
      </c>
      <c r="D6" s="1">
        <f t="shared" si="0"/>
        <v>289.66666666666669</v>
      </c>
      <c r="E6" s="1">
        <f t="shared" si="0"/>
        <v>9920.3333333333339</v>
      </c>
      <c r="F6" s="1">
        <f t="shared" si="0"/>
        <v>1091379200</v>
      </c>
      <c r="G6" s="1">
        <f t="shared" si="0"/>
        <v>0</v>
      </c>
      <c r="H6" s="1">
        <f t="shared" si="0"/>
        <v>4</v>
      </c>
      <c r="I6" s="1">
        <f t="shared" si="0"/>
        <v>0</v>
      </c>
      <c r="J6" s="1">
        <f t="shared" si="0"/>
        <v>896.46702243433344</v>
      </c>
      <c r="K6" s="1">
        <f t="shared" si="0"/>
        <v>1111045586</v>
      </c>
      <c r="L6" s="1">
        <f t="shared" si="0"/>
        <v>10289.333333333334</v>
      </c>
      <c r="M6" s="1">
        <f t="shared" si="0"/>
        <v>0</v>
      </c>
      <c r="N6" s="1">
        <f t="shared" si="0"/>
        <v>0</v>
      </c>
      <c r="O6" s="1">
        <f t="shared" si="0"/>
        <v>1108787200</v>
      </c>
      <c r="P6" s="1">
        <f t="shared" si="0"/>
        <v>270700</v>
      </c>
      <c r="Q6" s="1">
        <f t="shared" si="0"/>
        <v>22806.333333333332</v>
      </c>
      <c r="R6" s="1">
        <f t="shared" si="0"/>
        <v>280989.33333333331</v>
      </c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 t="s">
        <v>17</v>
      </c>
      <c r="B8" s="1">
        <v>2048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3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28</v>
      </c>
      <c r="M9" s="1" t="s">
        <v>29</v>
      </c>
      <c r="N9" s="1" t="s">
        <v>30</v>
      </c>
      <c r="O9" s="1" t="s">
        <v>31</v>
      </c>
      <c r="P9" s="1" t="s">
        <v>32</v>
      </c>
      <c r="Q9" s="1" t="s">
        <v>4</v>
      </c>
      <c r="R9" s="1" t="s">
        <v>5</v>
      </c>
    </row>
    <row r="10" spans="1:18" x14ac:dyDescent="0.25">
      <c r="A10" s="1">
        <v>1</v>
      </c>
      <c r="B10" s="1">
        <v>3</v>
      </c>
      <c r="C10" s="1">
        <v>2</v>
      </c>
      <c r="D10" s="1">
        <v>41</v>
      </c>
      <c r="E10" s="1">
        <v>20616</v>
      </c>
      <c r="F10" s="1">
        <v>2165121024</v>
      </c>
      <c r="G10" s="1">
        <v>0</v>
      </c>
      <c r="H10" s="1">
        <v>5</v>
      </c>
      <c r="I10" s="1">
        <v>0</v>
      </c>
      <c r="J10" s="1">
        <v>890.70255670903271</v>
      </c>
      <c r="K10" s="1">
        <v>2294905429</v>
      </c>
      <c r="L10" s="1">
        <v>11599</v>
      </c>
      <c r="M10" s="1">
        <v>0</v>
      </c>
      <c r="N10" s="1">
        <v>0</v>
      </c>
      <c r="O10" s="1">
        <v>2290327552</v>
      </c>
      <c r="P10" s="1">
        <v>559162</v>
      </c>
      <c r="Q10" s="1">
        <v>59023</v>
      </c>
      <c r="R10" s="1">
        <v>570761</v>
      </c>
    </row>
    <row r="11" spans="1:18" x14ac:dyDescent="0.25">
      <c r="A11" s="1">
        <v>2</v>
      </c>
      <c r="B11" s="1">
        <v>3</v>
      </c>
      <c r="C11" s="1">
        <v>1</v>
      </c>
      <c r="D11" s="1">
        <v>41</v>
      </c>
      <c r="E11" s="1">
        <v>20689</v>
      </c>
      <c r="F11" s="1">
        <v>2165121024</v>
      </c>
      <c r="G11" s="1">
        <v>0</v>
      </c>
      <c r="H11" s="1">
        <v>5</v>
      </c>
      <c r="I11" s="1">
        <v>0</v>
      </c>
      <c r="J11" s="1">
        <v>889.58477726218098</v>
      </c>
      <c r="K11" s="1">
        <v>2300253850</v>
      </c>
      <c r="L11" s="1">
        <v>12156</v>
      </c>
      <c r="M11" s="1">
        <v>0</v>
      </c>
      <c r="N11" s="1">
        <v>0</v>
      </c>
      <c r="O11" s="1">
        <v>2295660544</v>
      </c>
      <c r="P11" s="1">
        <v>560464</v>
      </c>
      <c r="Q11" s="1">
        <v>53302</v>
      </c>
      <c r="R11" s="1">
        <v>572620</v>
      </c>
    </row>
    <row r="12" spans="1:18" x14ac:dyDescent="0.25">
      <c r="A12" s="1">
        <v>3</v>
      </c>
      <c r="B12" s="1">
        <v>3</v>
      </c>
      <c r="C12" s="1">
        <v>2</v>
      </c>
      <c r="D12" s="1">
        <v>46</v>
      </c>
      <c r="E12" s="1">
        <v>20555</v>
      </c>
      <c r="F12" s="1">
        <v>2165121024</v>
      </c>
      <c r="G12" s="1">
        <v>0</v>
      </c>
      <c r="H12" s="1">
        <v>5</v>
      </c>
      <c r="I12" s="1">
        <v>0</v>
      </c>
      <c r="J12" s="1">
        <v>897.66660283170336</v>
      </c>
      <c r="K12" s="1">
        <v>2306005327</v>
      </c>
      <c r="L12" s="1">
        <v>12809</v>
      </c>
      <c r="M12" s="1">
        <v>0</v>
      </c>
      <c r="N12" s="1">
        <v>0</v>
      </c>
      <c r="O12" s="1">
        <v>2301394944</v>
      </c>
      <c r="P12" s="1">
        <v>561864</v>
      </c>
      <c r="Q12" s="1">
        <v>53911</v>
      </c>
      <c r="R12" s="1">
        <v>574673</v>
      </c>
    </row>
    <row r="13" spans="1:18" x14ac:dyDescent="0.25">
      <c r="A13" s="1" t="s">
        <v>33</v>
      </c>
      <c r="B13" s="1">
        <f t="shared" ref="B13:R13" si="1">AVERAGE(B10:B12)</f>
        <v>3</v>
      </c>
      <c r="C13" s="1">
        <f t="shared" si="1"/>
        <v>1.6666666666666667</v>
      </c>
      <c r="D13" s="1">
        <f t="shared" si="1"/>
        <v>42.666666666666664</v>
      </c>
      <c r="E13" s="1">
        <f t="shared" si="1"/>
        <v>20620</v>
      </c>
      <c r="F13" s="1">
        <f t="shared" si="1"/>
        <v>2165121024</v>
      </c>
      <c r="G13" s="1">
        <f t="shared" si="1"/>
        <v>0</v>
      </c>
      <c r="H13" s="1">
        <f t="shared" si="1"/>
        <v>5</v>
      </c>
      <c r="I13" s="1">
        <f t="shared" si="1"/>
        <v>0</v>
      </c>
      <c r="J13" s="1">
        <f t="shared" si="1"/>
        <v>892.65131226763913</v>
      </c>
      <c r="K13" s="1">
        <f t="shared" si="1"/>
        <v>2300388202</v>
      </c>
      <c r="L13" s="1">
        <f t="shared" si="1"/>
        <v>12188</v>
      </c>
      <c r="M13" s="1">
        <f t="shared" si="1"/>
        <v>0</v>
      </c>
      <c r="N13" s="1">
        <f t="shared" si="1"/>
        <v>0</v>
      </c>
      <c r="O13" s="1">
        <f t="shared" si="1"/>
        <v>2295794346.6666665</v>
      </c>
      <c r="P13" s="1">
        <f t="shared" si="1"/>
        <v>560496.66666666663</v>
      </c>
      <c r="Q13" s="1">
        <f t="shared" si="1"/>
        <v>55412</v>
      </c>
      <c r="R13" s="1">
        <f t="shared" si="1"/>
        <v>572684.66666666663</v>
      </c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 t="s">
        <v>17</v>
      </c>
      <c r="B15" s="1">
        <v>4096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3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26</v>
      </c>
      <c r="K16" s="1" t="s">
        <v>27</v>
      </c>
      <c r="L16" s="1" t="s">
        <v>28</v>
      </c>
      <c r="M16" s="1" t="s">
        <v>29</v>
      </c>
      <c r="N16" s="1" t="s">
        <v>30</v>
      </c>
      <c r="O16" s="1" t="s">
        <v>31</v>
      </c>
      <c r="P16" s="1" t="s">
        <v>32</v>
      </c>
      <c r="Q16" s="1" t="s">
        <v>4</v>
      </c>
      <c r="R16" s="1" t="s">
        <v>5</v>
      </c>
    </row>
    <row r="17" spans="1:18" x14ac:dyDescent="0.25">
      <c r="A17" s="1">
        <v>1</v>
      </c>
      <c r="B17" s="1">
        <v>3</v>
      </c>
      <c r="C17" s="1">
        <v>3</v>
      </c>
      <c r="D17" s="1">
        <v>124</v>
      </c>
      <c r="E17" s="1">
        <v>35296</v>
      </c>
      <c r="F17" s="1">
        <v>4312604672</v>
      </c>
      <c r="G17" s="1">
        <v>0</v>
      </c>
      <c r="H17" s="1">
        <v>5</v>
      </c>
      <c r="I17" s="1">
        <v>0</v>
      </c>
      <c r="J17" s="1">
        <v>835.79023625081459</v>
      </c>
      <c r="K17" s="1">
        <v>3686980717</v>
      </c>
      <c r="L17" s="1">
        <v>248551</v>
      </c>
      <c r="M17" s="1">
        <v>0</v>
      </c>
      <c r="N17" s="1">
        <v>0</v>
      </c>
      <c r="O17" s="1">
        <v>3677560832</v>
      </c>
      <c r="P17" s="1">
        <v>897842</v>
      </c>
      <c r="Q17" s="1">
        <v>35785</v>
      </c>
      <c r="R17" s="1">
        <v>1146393</v>
      </c>
    </row>
    <row r="18" spans="1:18" x14ac:dyDescent="0.25">
      <c r="A18" s="1">
        <v>2</v>
      </c>
      <c r="B18" s="1">
        <v>4</v>
      </c>
      <c r="C18" s="1">
        <v>3</v>
      </c>
      <c r="D18" s="1">
        <v>72</v>
      </c>
      <c r="E18" s="1">
        <v>35215</v>
      </c>
      <c r="F18" s="1">
        <v>4312604672</v>
      </c>
      <c r="G18" s="1">
        <v>0</v>
      </c>
      <c r="H18" s="1">
        <v>6</v>
      </c>
      <c r="I18" s="1">
        <v>0</v>
      </c>
      <c r="J18" s="1">
        <v>805.56941974326935</v>
      </c>
      <c r="K18" s="1">
        <v>3545501391</v>
      </c>
      <c r="L18" s="1">
        <v>285705</v>
      </c>
      <c r="M18" s="1">
        <v>0</v>
      </c>
      <c r="N18" s="1">
        <v>0</v>
      </c>
      <c r="O18" s="1">
        <v>3536023552</v>
      </c>
      <c r="P18" s="1">
        <v>863287</v>
      </c>
      <c r="Q18" s="1">
        <v>88455</v>
      </c>
      <c r="R18" s="1">
        <v>1148992</v>
      </c>
    </row>
    <row r="19" spans="1:18" x14ac:dyDescent="0.25">
      <c r="A19" s="1">
        <v>3</v>
      </c>
      <c r="B19" s="1">
        <v>4</v>
      </c>
      <c r="C19" s="1">
        <v>3</v>
      </c>
      <c r="D19" s="1">
        <v>73</v>
      </c>
      <c r="E19" s="1">
        <v>35246</v>
      </c>
      <c r="F19" s="1">
        <v>4312604672</v>
      </c>
      <c r="G19" s="1">
        <v>0</v>
      </c>
      <c r="H19" s="1">
        <v>6</v>
      </c>
      <c r="I19" s="1">
        <v>0</v>
      </c>
      <c r="J19" s="1">
        <v>810.08665641403968</v>
      </c>
      <c r="K19" s="1">
        <v>3568523094</v>
      </c>
      <c r="L19" s="1">
        <v>276392</v>
      </c>
      <c r="M19" s="1">
        <v>0</v>
      </c>
      <c r="N19" s="1">
        <v>0</v>
      </c>
      <c r="O19" s="1">
        <v>3559084032</v>
      </c>
      <c r="P19" s="1">
        <v>868917</v>
      </c>
      <c r="Q19" s="1">
        <v>71321</v>
      </c>
      <c r="R19" s="1">
        <v>1145309</v>
      </c>
    </row>
    <row r="20" spans="1:18" x14ac:dyDescent="0.25">
      <c r="A20" s="1" t="s">
        <v>33</v>
      </c>
      <c r="B20" s="1">
        <f t="shared" ref="B20:R20" si="2">AVERAGE(B17:B19)</f>
        <v>3.6666666666666665</v>
      </c>
      <c r="C20" s="1">
        <f t="shared" si="2"/>
        <v>3</v>
      </c>
      <c r="D20" s="1">
        <f t="shared" si="2"/>
        <v>89.666666666666671</v>
      </c>
      <c r="E20" s="1">
        <f t="shared" si="2"/>
        <v>35252.333333333336</v>
      </c>
      <c r="F20" s="1">
        <f t="shared" si="2"/>
        <v>4312604672</v>
      </c>
      <c r="G20" s="1">
        <f t="shared" si="2"/>
        <v>0</v>
      </c>
      <c r="H20" s="1">
        <f t="shared" si="2"/>
        <v>5.666666666666667</v>
      </c>
      <c r="I20" s="1">
        <f t="shared" si="2"/>
        <v>0</v>
      </c>
      <c r="J20" s="1">
        <f t="shared" si="2"/>
        <v>817.14877080270787</v>
      </c>
      <c r="K20" s="1">
        <f t="shared" si="2"/>
        <v>3600335067.3333335</v>
      </c>
      <c r="L20" s="1">
        <f t="shared" si="2"/>
        <v>270216</v>
      </c>
      <c r="M20" s="1">
        <f t="shared" si="2"/>
        <v>0</v>
      </c>
      <c r="N20" s="1">
        <f t="shared" si="2"/>
        <v>0</v>
      </c>
      <c r="O20" s="1">
        <f t="shared" si="2"/>
        <v>3590889472</v>
      </c>
      <c r="P20" s="1">
        <f t="shared" si="2"/>
        <v>876682</v>
      </c>
      <c r="Q20" s="1">
        <f t="shared" si="2"/>
        <v>65187</v>
      </c>
      <c r="R20" s="1">
        <f t="shared" si="2"/>
        <v>1146898</v>
      </c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17</v>
      </c>
      <c r="B22" s="1">
        <v>8192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 s="1" t="s">
        <v>21</v>
      </c>
      <c r="E23" s="1" t="s">
        <v>3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  <c r="N23" s="1" t="s">
        <v>30</v>
      </c>
      <c r="O23" s="1" t="s">
        <v>31</v>
      </c>
      <c r="P23" s="1" t="s">
        <v>32</v>
      </c>
      <c r="Q23" s="1" t="s">
        <v>4</v>
      </c>
      <c r="R23" s="1" t="s">
        <v>5</v>
      </c>
    </row>
    <row r="24" spans="1:18" x14ac:dyDescent="0.25">
      <c r="A24" s="1">
        <v>1</v>
      </c>
      <c r="B24" s="1">
        <v>4</v>
      </c>
      <c r="C24" s="1">
        <v>5</v>
      </c>
      <c r="D24" s="1">
        <v>53</v>
      </c>
      <c r="E24" s="1">
        <v>52017</v>
      </c>
      <c r="F24" s="1">
        <v>8607571968</v>
      </c>
      <c r="G24" s="1">
        <v>0</v>
      </c>
      <c r="H24" s="1">
        <v>6</v>
      </c>
      <c r="I24" s="1">
        <v>0</v>
      </c>
      <c r="J24" s="1">
        <v>595.49589833115442</v>
      </c>
      <c r="K24" s="1">
        <v>3871404173</v>
      </c>
      <c r="L24" s="1">
        <v>1260178</v>
      </c>
      <c r="M24" s="1">
        <v>0</v>
      </c>
      <c r="N24" s="1">
        <v>0</v>
      </c>
      <c r="O24" s="1">
        <v>3852537856</v>
      </c>
      <c r="P24" s="1">
        <v>940561</v>
      </c>
      <c r="Q24" s="1">
        <v>107464</v>
      </c>
      <c r="R24" s="1">
        <v>2200739</v>
      </c>
    </row>
    <row r="25" spans="1:18" x14ac:dyDescent="0.25">
      <c r="A25" s="1">
        <v>2</v>
      </c>
      <c r="B25" s="1">
        <v>4</v>
      </c>
      <c r="C25" s="1">
        <v>5</v>
      </c>
      <c r="D25" s="1">
        <v>64</v>
      </c>
      <c r="E25" s="1">
        <v>52079</v>
      </c>
      <c r="F25" s="1">
        <v>8607571968</v>
      </c>
      <c r="G25" s="1">
        <v>0</v>
      </c>
      <c r="H25" s="1">
        <v>6</v>
      </c>
      <c r="I25" s="1">
        <v>0</v>
      </c>
      <c r="J25" s="1">
        <v>587.67140008449519</v>
      </c>
      <c r="K25" s="1">
        <v>3825087651</v>
      </c>
      <c r="L25" s="1">
        <v>1280381</v>
      </c>
      <c r="M25" s="1">
        <v>0</v>
      </c>
      <c r="N25" s="1">
        <v>0</v>
      </c>
      <c r="O25" s="1">
        <v>3806130176</v>
      </c>
      <c r="P25" s="1">
        <v>929231</v>
      </c>
      <c r="Q25" s="1">
        <v>131874</v>
      </c>
      <c r="R25" s="1">
        <v>2209612</v>
      </c>
    </row>
    <row r="26" spans="1:18" x14ac:dyDescent="0.25">
      <c r="A26" s="1">
        <v>3</v>
      </c>
      <c r="B26" s="1">
        <v>4</v>
      </c>
      <c r="C26" s="1">
        <v>4</v>
      </c>
      <c r="D26" s="1">
        <v>72</v>
      </c>
      <c r="E26" s="1">
        <v>52550</v>
      </c>
      <c r="F26" s="1">
        <v>8607571968</v>
      </c>
      <c r="G26" s="1">
        <v>0</v>
      </c>
      <c r="H26" s="1">
        <v>6</v>
      </c>
      <c r="I26" s="1">
        <v>0</v>
      </c>
      <c r="J26" s="1">
        <v>597.76471662923916</v>
      </c>
      <c r="K26" s="1">
        <v>3926055690</v>
      </c>
      <c r="L26" s="1">
        <v>1255916</v>
      </c>
      <c r="M26" s="1">
        <v>0</v>
      </c>
      <c r="N26" s="1">
        <v>0</v>
      </c>
      <c r="O26" s="1">
        <v>3907121152</v>
      </c>
      <c r="P26" s="1">
        <v>953887</v>
      </c>
      <c r="Q26" s="1">
        <v>179094</v>
      </c>
      <c r="R26" s="1">
        <v>2209803</v>
      </c>
    </row>
    <row r="27" spans="1:18" x14ac:dyDescent="0.25">
      <c r="A27" s="1" t="s">
        <v>33</v>
      </c>
      <c r="B27" s="1">
        <f t="shared" ref="B27:R27" si="3">AVERAGE(B24:B26)</f>
        <v>4</v>
      </c>
      <c r="C27" s="1">
        <f t="shared" si="3"/>
        <v>4.666666666666667</v>
      </c>
      <c r="D27" s="1">
        <f t="shared" si="3"/>
        <v>63</v>
      </c>
      <c r="E27" s="1">
        <f t="shared" si="3"/>
        <v>52215.333333333336</v>
      </c>
      <c r="F27" s="1">
        <f t="shared" si="3"/>
        <v>8607571968</v>
      </c>
      <c r="G27" s="1">
        <f t="shared" si="3"/>
        <v>0</v>
      </c>
      <c r="H27" s="1">
        <f t="shared" si="3"/>
        <v>6</v>
      </c>
      <c r="I27" s="1">
        <f t="shared" si="3"/>
        <v>0</v>
      </c>
      <c r="J27" s="1">
        <f t="shared" si="3"/>
        <v>593.644005014963</v>
      </c>
      <c r="K27" s="1">
        <f t="shared" si="3"/>
        <v>3874182504.6666665</v>
      </c>
      <c r="L27" s="1">
        <f t="shared" si="3"/>
        <v>1265491.6666666667</v>
      </c>
      <c r="M27" s="1">
        <f t="shared" si="3"/>
        <v>0</v>
      </c>
      <c r="N27" s="1">
        <f t="shared" si="3"/>
        <v>0</v>
      </c>
      <c r="O27" s="1">
        <f t="shared" si="3"/>
        <v>3855263061.3333335</v>
      </c>
      <c r="P27" s="1">
        <f t="shared" si="3"/>
        <v>941226.33333333337</v>
      </c>
      <c r="Q27" s="1">
        <f t="shared" si="3"/>
        <v>139477.33333333334</v>
      </c>
      <c r="R27" s="1">
        <f t="shared" si="3"/>
        <v>2206718</v>
      </c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 t="s">
        <v>17</v>
      </c>
      <c r="B29" s="1">
        <v>12288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 s="1" t="s">
        <v>21</v>
      </c>
      <c r="E30" s="1" t="s">
        <v>3</v>
      </c>
      <c r="F30" s="1" t="s">
        <v>22</v>
      </c>
      <c r="G30" s="1" t="s">
        <v>23</v>
      </c>
      <c r="H30" s="1" t="s">
        <v>24</v>
      </c>
      <c r="I30" s="1" t="s">
        <v>25</v>
      </c>
      <c r="J30" s="1" t="s">
        <v>26</v>
      </c>
      <c r="K30" s="1" t="s">
        <v>27</v>
      </c>
      <c r="L30" s="1" t="s">
        <v>28</v>
      </c>
      <c r="M30" s="1" t="s">
        <v>29</v>
      </c>
      <c r="N30" s="1" t="s">
        <v>30</v>
      </c>
      <c r="O30" s="1" t="s">
        <v>31</v>
      </c>
      <c r="P30" s="1" t="s">
        <v>32</v>
      </c>
      <c r="Q30" s="1" t="s">
        <v>4</v>
      </c>
      <c r="R30" s="1" t="s">
        <v>5</v>
      </c>
    </row>
    <row r="31" spans="1:18" x14ac:dyDescent="0.25">
      <c r="A31" s="1">
        <v>1</v>
      </c>
      <c r="B31" s="1">
        <v>4</v>
      </c>
      <c r="C31" s="1">
        <v>6</v>
      </c>
      <c r="D31" s="1">
        <v>62</v>
      </c>
      <c r="E31" s="1">
        <v>67833</v>
      </c>
      <c r="F31" s="1">
        <v>12902539264</v>
      </c>
      <c r="G31" s="1">
        <v>0</v>
      </c>
      <c r="H31" s="1">
        <v>6</v>
      </c>
      <c r="I31" s="1">
        <v>0</v>
      </c>
      <c r="J31" s="1">
        <v>476.12182983177792</v>
      </c>
      <c r="K31" s="1">
        <v>4036527009</v>
      </c>
      <c r="L31" s="1">
        <v>2301507</v>
      </c>
      <c r="M31" s="1">
        <v>0</v>
      </c>
      <c r="N31" s="1">
        <v>0</v>
      </c>
      <c r="O31" s="1">
        <v>4007985152</v>
      </c>
      <c r="P31" s="1">
        <v>978512</v>
      </c>
      <c r="Q31" s="1">
        <v>174956</v>
      </c>
      <c r="R31" s="1">
        <v>3280019</v>
      </c>
    </row>
    <row r="32" spans="1:18" x14ac:dyDescent="0.25">
      <c r="A32" s="1">
        <v>2</v>
      </c>
      <c r="B32" s="1">
        <v>4</v>
      </c>
      <c r="C32" s="1">
        <v>6</v>
      </c>
      <c r="D32" s="1">
        <v>128</v>
      </c>
      <c r="E32" s="1">
        <v>67982</v>
      </c>
      <c r="F32" s="1">
        <v>12902539264</v>
      </c>
      <c r="G32" s="1">
        <v>0</v>
      </c>
      <c r="H32" s="1">
        <v>6</v>
      </c>
      <c r="I32" s="1">
        <v>0</v>
      </c>
      <c r="J32" s="1">
        <v>471.81575862068968</v>
      </c>
      <c r="K32" s="1">
        <v>4008806091</v>
      </c>
      <c r="L32" s="1">
        <v>2289829</v>
      </c>
      <c r="M32" s="1">
        <v>0</v>
      </c>
      <c r="N32" s="1">
        <v>0</v>
      </c>
      <c r="O32" s="1">
        <v>3980423168</v>
      </c>
      <c r="P32" s="1">
        <v>971783</v>
      </c>
      <c r="Q32" s="1">
        <v>192561</v>
      </c>
      <c r="R32" s="1">
        <v>3261612</v>
      </c>
    </row>
    <row r="33" spans="1:18" x14ac:dyDescent="0.25">
      <c r="A33" s="1">
        <v>3</v>
      </c>
      <c r="B33" s="1">
        <v>4</v>
      </c>
      <c r="C33" s="1">
        <v>6</v>
      </c>
      <c r="D33" s="1">
        <v>66</v>
      </c>
      <c r="E33" s="1">
        <v>67968</v>
      </c>
      <c r="F33" s="1">
        <v>12902539264</v>
      </c>
      <c r="G33" s="1">
        <v>0</v>
      </c>
      <c r="H33" s="1">
        <v>6</v>
      </c>
      <c r="I33" s="1">
        <v>0</v>
      </c>
      <c r="J33" s="1">
        <v>476.18316659309619</v>
      </c>
      <c r="K33" s="1">
        <v>4045082636</v>
      </c>
      <c r="L33" s="1">
        <v>2289057</v>
      </c>
      <c r="M33" s="1">
        <v>0</v>
      </c>
      <c r="N33" s="1">
        <v>0</v>
      </c>
      <c r="O33" s="1">
        <v>4016635904</v>
      </c>
      <c r="P33" s="1">
        <v>980624</v>
      </c>
      <c r="Q33" s="1">
        <v>177584</v>
      </c>
      <c r="R33" s="1">
        <v>3269681</v>
      </c>
    </row>
    <row r="34" spans="1:18" x14ac:dyDescent="0.25">
      <c r="A34" s="1" t="s">
        <v>33</v>
      </c>
      <c r="B34" s="1">
        <f t="shared" ref="B34:R34" si="4">AVERAGE(B31:B33)</f>
        <v>4</v>
      </c>
      <c r="C34" s="1">
        <f t="shared" si="4"/>
        <v>6</v>
      </c>
      <c r="D34" s="1">
        <f t="shared" si="4"/>
        <v>85.333333333333329</v>
      </c>
      <c r="E34" s="1">
        <f t="shared" si="4"/>
        <v>67927.666666666672</v>
      </c>
      <c r="F34" s="1">
        <f t="shared" si="4"/>
        <v>12902539264</v>
      </c>
      <c r="G34" s="1">
        <f t="shared" si="4"/>
        <v>0</v>
      </c>
      <c r="H34" s="1">
        <f t="shared" si="4"/>
        <v>6</v>
      </c>
      <c r="I34" s="1">
        <f t="shared" si="4"/>
        <v>0</v>
      </c>
      <c r="J34" s="1">
        <f t="shared" si="4"/>
        <v>474.70691834852124</v>
      </c>
      <c r="K34" s="1">
        <f t="shared" si="4"/>
        <v>4030138578.6666665</v>
      </c>
      <c r="L34" s="1">
        <f t="shared" si="4"/>
        <v>2293464.3333333335</v>
      </c>
      <c r="M34" s="1">
        <f t="shared" si="4"/>
        <v>0</v>
      </c>
      <c r="N34" s="1">
        <f t="shared" si="4"/>
        <v>0</v>
      </c>
      <c r="O34" s="1">
        <f t="shared" si="4"/>
        <v>4001681408</v>
      </c>
      <c r="P34" s="1">
        <f t="shared" si="4"/>
        <v>976973</v>
      </c>
      <c r="Q34" s="1">
        <f t="shared" si="4"/>
        <v>181700.33333333334</v>
      </c>
      <c r="R34" s="1">
        <f t="shared" si="4"/>
        <v>3270437.3333333335</v>
      </c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 t="s">
        <v>17</v>
      </c>
      <c r="B36" s="1">
        <v>16384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 s="1" t="s">
        <v>21</v>
      </c>
      <c r="E37" s="1" t="s">
        <v>3</v>
      </c>
      <c r="F37" s="1" t="s">
        <v>22</v>
      </c>
      <c r="G37" s="1" t="s">
        <v>23</v>
      </c>
      <c r="H37" s="1" t="s">
        <v>24</v>
      </c>
      <c r="I37" s="1" t="s">
        <v>25</v>
      </c>
      <c r="J37" s="1" t="s">
        <v>26</v>
      </c>
      <c r="K37" s="1" t="s">
        <v>27</v>
      </c>
      <c r="L37" s="1" t="s">
        <v>28</v>
      </c>
      <c r="M37" s="1" t="s">
        <v>29</v>
      </c>
      <c r="N37" s="1" t="s">
        <v>30</v>
      </c>
      <c r="O37" s="1" t="s">
        <v>31</v>
      </c>
      <c r="P37" s="1" t="s">
        <v>32</v>
      </c>
      <c r="Q37" s="1" t="s">
        <v>4</v>
      </c>
      <c r="R37" s="1" t="s">
        <v>5</v>
      </c>
    </row>
    <row r="38" spans="1:18" x14ac:dyDescent="0.25">
      <c r="A38" s="1">
        <v>1</v>
      </c>
      <c r="B38" s="1">
        <v>5</v>
      </c>
      <c r="C38" s="1">
        <v>7</v>
      </c>
      <c r="D38" s="1">
        <v>87</v>
      </c>
      <c r="E38" s="1">
        <v>86160</v>
      </c>
      <c r="F38" s="1">
        <v>17197506560</v>
      </c>
      <c r="G38" s="1">
        <v>0</v>
      </c>
      <c r="H38" s="1">
        <v>7</v>
      </c>
      <c r="I38" s="1">
        <v>0</v>
      </c>
      <c r="J38" s="1">
        <v>420.37984330203238</v>
      </c>
      <c r="K38" s="1">
        <v>4526910394</v>
      </c>
      <c r="L38" s="1">
        <v>3243192</v>
      </c>
      <c r="M38" s="1">
        <v>0</v>
      </c>
      <c r="N38" s="1">
        <v>0</v>
      </c>
      <c r="O38" s="1">
        <v>4488953856</v>
      </c>
      <c r="P38" s="1">
        <v>1095936</v>
      </c>
      <c r="Q38" s="1">
        <v>233567</v>
      </c>
      <c r="R38" s="1">
        <v>4339128</v>
      </c>
    </row>
    <row r="39" spans="1:18" x14ac:dyDescent="0.25">
      <c r="A39" s="1">
        <v>2</v>
      </c>
      <c r="B39" s="1">
        <v>6</v>
      </c>
      <c r="C39" s="1">
        <v>7</v>
      </c>
      <c r="D39" s="1">
        <v>111</v>
      </c>
      <c r="E39" s="1">
        <v>86994</v>
      </c>
      <c r="F39" s="1">
        <v>17197506560</v>
      </c>
      <c r="G39" s="1">
        <v>0</v>
      </c>
      <c r="H39" s="1">
        <v>8</v>
      </c>
      <c r="I39" s="1">
        <v>0</v>
      </c>
      <c r="J39" s="1">
        <v>422.23111177532269</v>
      </c>
      <c r="K39" s="1">
        <v>4590864753</v>
      </c>
      <c r="L39" s="1">
        <v>3234719</v>
      </c>
      <c r="M39" s="1">
        <v>0</v>
      </c>
      <c r="N39" s="1">
        <v>0</v>
      </c>
      <c r="O39" s="1">
        <v>4552859648</v>
      </c>
      <c r="P39" s="1">
        <v>1111538</v>
      </c>
      <c r="Q39" s="1">
        <v>288288</v>
      </c>
      <c r="R39" s="1">
        <v>4346257</v>
      </c>
    </row>
    <row r="40" spans="1:18" x14ac:dyDescent="0.25">
      <c r="A40" s="1">
        <v>3</v>
      </c>
      <c r="B40" s="1">
        <v>5</v>
      </c>
      <c r="C40" s="1">
        <v>8</v>
      </c>
      <c r="D40" s="1">
        <v>102</v>
      </c>
      <c r="E40" s="1">
        <v>87874</v>
      </c>
      <c r="F40" s="1">
        <v>17197506560</v>
      </c>
      <c r="G40" s="1">
        <v>0</v>
      </c>
      <c r="H40" s="1">
        <v>7</v>
      </c>
      <c r="I40" s="1">
        <v>0</v>
      </c>
      <c r="J40" s="1">
        <v>412.53227851501151</v>
      </c>
      <c r="K40" s="1">
        <v>4530732712</v>
      </c>
      <c r="L40" s="1">
        <v>3258862</v>
      </c>
      <c r="M40" s="1">
        <v>0</v>
      </c>
      <c r="N40" s="1">
        <v>0</v>
      </c>
      <c r="O40" s="1">
        <v>4492627968</v>
      </c>
      <c r="P40" s="1">
        <v>1096833</v>
      </c>
      <c r="Q40" s="1">
        <v>297828</v>
      </c>
      <c r="R40" s="1">
        <v>4355695</v>
      </c>
    </row>
    <row r="41" spans="1:18" x14ac:dyDescent="0.25">
      <c r="A41" s="1" t="s">
        <v>33</v>
      </c>
      <c r="B41" s="1">
        <f t="shared" ref="B41:R41" si="5">AVERAGE(B38:B40)</f>
        <v>5.333333333333333</v>
      </c>
      <c r="C41" s="1">
        <f t="shared" si="5"/>
        <v>7.333333333333333</v>
      </c>
      <c r="D41" s="1">
        <f t="shared" si="5"/>
        <v>100</v>
      </c>
      <c r="E41" s="1">
        <f t="shared" si="5"/>
        <v>87009.333333333328</v>
      </c>
      <c r="F41" s="1">
        <f t="shared" si="5"/>
        <v>17197506560</v>
      </c>
      <c r="G41" s="1">
        <f t="shared" si="5"/>
        <v>0</v>
      </c>
      <c r="H41" s="1">
        <f t="shared" si="5"/>
        <v>7.333333333333333</v>
      </c>
      <c r="I41" s="1">
        <f t="shared" si="5"/>
        <v>0</v>
      </c>
      <c r="J41" s="1">
        <f t="shared" si="5"/>
        <v>418.38107786412223</v>
      </c>
      <c r="K41" s="1">
        <f t="shared" si="5"/>
        <v>4549502619.666667</v>
      </c>
      <c r="L41" s="1">
        <f t="shared" si="5"/>
        <v>3245591</v>
      </c>
      <c r="M41" s="1">
        <f t="shared" si="5"/>
        <v>0</v>
      </c>
      <c r="N41" s="1">
        <f t="shared" si="5"/>
        <v>0</v>
      </c>
      <c r="O41" s="1">
        <f t="shared" si="5"/>
        <v>4511480490.666667</v>
      </c>
      <c r="P41" s="1">
        <f t="shared" si="5"/>
        <v>1101435.6666666667</v>
      </c>
      <c r="Q41" s="1">
        <f t="shared" si="5"/>
        <v>273227.66666666669</v>
      </c>
      <c r="R41" s="1">
        <f t="shared" si="5"/>
        <v>4347026.666666667</v>
      </c>
    </row>
    <row r="42" spans="1:1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2"/>
  <sheetViews>
    <sheetView workbookViewId="0"/>
  </sheetViews>
  <sheetFormatPr defaultRowHeight="15" x14ac:dyDescent="0.25"/>
  <cols>
    <col min="1" max="1" width="12" customWidth="1"/>
    <col min="2" max="6" width="19" customWidth="1"/>
    <col min="7" max="7" width="23" customWidth="1"/>
    <col min="8" max="8" width="22" customWidth="1"/>
    <col min="9" max="12" width="19" customWidth="1"/>
    <col min="13" max="13" width="22" customWidth="1"/>
    <col min="14" max="16" width="19" customWidth="1"/>
    <col min="17" max="17" width="24" customWidth="1"/>
    <col min="18" max="18" width="30" customWidth="1"/>
  </cols>
  <sheetData>
    <row r="1" spans="1:18" x14ac:dyDescent="0.25">
      <c r="A1" s="1" t="s">
        <v>17</v>
      </c>
      <c r="B1" s="1">
        <v>1024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3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4</v>
      </c>
      <c r="R2" s="1" t="s">
        <v>5</v>
      </c>
    </row>
    <row r="3" spans="1:18" x14ac:dyDescent="0.25">
      <c r="A3" s="1">
        <v>1</v>
      </c>
      <c r="B3" s="1">
        <v>2</v>
      </c>
      <c r="C3" s="1">
        <v>1</v>
      </c>
      <c r="D3" s="1">
        <v>52</v>
      </c>
      <c r="E3" s="1">
        <v>9701</v>
      </c>
      <c r="F3" s="1">
        <v>1091379200</v>
      </c>
      <c r="G3" s="1">
        <v>0</v>
      </c>
      <c r="H3" s="1">
        <v>4</v>
      </c>
      <c r="I3" s="1">
        <v>0</v>
      </c>
      <c r="J3" s="1">
        <v>907.19885360824742</v>
      </c>
      <c r="K3" s="1">
        <v>1099766252</v>
      </c>
      <c r="L3" s="1">
        <v>11942</v>
      </c>
      <c r="M3" s="1">
        <v>0</v>
      </c>
      <c r="N3" s="1">
        <v>0</v>
      </c>
      <c r="O3" s="1">
        <v>1097515008</v>
      </c>
      <c r="P3" s="1">
        <v>267948</v>
      </c>
      <c r="Q3" s="1">
        <v>19759</v>
      </c>
      <c r="R3" s="1">
        <v>279890</v>
      </c>
    </row>
    <row r="4" spans="1:18" x14ac:dyDescent="0.25">
      <c r="A4" s="1">
        <v>2</v>
      </c>
      <c r="B4" s="1">
        <v>2</v>
      </c>
      <c r="C4" s="1">
        <v>1</v>
      </c>
      <c r="D4" s="1">
        <v>58</v>
      </c>
      <c r="E4" s="1">
        <v>9772</v>
      </c>
      <c r="F4" s="1">
        <v>1091379200</v>
      </c>
      <c r="G4" s="1">
        <v>0</v>
      </c>
      <c r="H4" s="1">
        <v>4</v>
      </c>
      <c r="I4" s="1">
        <v>0</v>
      </c>
      <c r="J4" s="1">
        <v>902.42393040630441</v>
      </c>
      <c r="K4" s="1">
        <v>1101985670</v>
      </c>
      <c r="L4" s="1">
        <v>11392</v>
      </c>
      <c r="M4" s="1">
        <v>0</v>
      </c>
      <c r="N4" s="1">
        <v>0</v>
      </c>
      <c r="O4" s="1">
        <v>1099735040</v>
      </c>
      <c r="P4" s="1">
        <v>268490</v>
      </c>
      <c r="Q4" s="1">
        <v>19932</v>
      </c>
      <c r="R4" s="1">
        <v>279882</v>
      </c>
    </row>
    <row r="5" spans="1:18" x14ac:dyDescent="0.25">
      <c r="A5" s="1">
        <v>3</v>
      </c>
      <c r="B5" s="1">
        <v>2</v>
      </c>
      <c r="C5" s="1">
        <v>2</v>
      </c>
      <c r="D5" s="1">
        <v>70</v>
      </c>
      <c r="E5" s="1">
        <v>9791</v>
      </c>
      <c r="F5" s="1">
        <v>1091379200</v>
      </c>
      <c r="G5" s="1">
        <v>0</v>
      </c>
      <c r="H5" s="1">
        <v>4</v>
      </c>
      <c r="I5" s="1">
        <v>0</v>
      </c>
      <c r="J5" s="1">
        <v>905.86046133415061</v>
      </c>
      <c r="K5" s="1">
        <v>1108221149</v>
      </c>
      <c r="L5" s="1">
        <v>11103</v>
      </c>
      <c r="M5" s="1">
        <v>0</v>
      </c>
      <c r="N5" s="1">
        <v>0</v>
      </c>
      <c r="O5" s="1">
        <v>1105960960</v>
      </c>
      <c r="P5" s="1">
        <v>270010</v>
      </c>
      <c r="Q5" s="1">
        <v>21421</v>
      </c>
      <c r="R5" s="1">
        <v>281113</v>
      </c>
    </row>
    <row r="6" spans="1:18" x14ac:dyDescent="0.25">
      <c r="A6" s="1" t="s">
        <v>33</v>
      </c>
      <c r="B6" s="1">
        <f t="shared" ref="B6:R6" si="0">AVERAGE(B3:B5)</f>
        <v>2</v>
      </c>
      <c r="C6" s="1">
        <f t="shared" si="0"/>
        <v>1.3333333333333333</v>
      </c>
      <c r="D6" s="1">
        <f t="shared" si="0"/>
        <v>60</v>
      </c>
      <c r="E6" s="1">
        <f t="shared" si="0"/>
        <v>9754.6666666666661</v>
      </c>
      <c r="F6" s="1">
        <f t="shared" si="0"/>
        <v>1091379200</v>
      </c>
      <c r="G6" s="1">
        <f t="shared" si="0"/>
        <v>0</v>
      </c>
      <c r="H6" s="1">
        <f t="shared" si="0"/>
        <v>4</v>
      </c>
      <c r="I6" s="1">
        <f t="shared" si="0"/>
        <v>0</v>
      </c>
      <c r="J6" s="1">
        <f t="shared" si="0"/>
        <v>905.16108178290085</v>
      </c>
      <c r="K6" s="1">
        <f t="shared" si="0"/>
        <v>1103324357</v>
      </c>
      <c r="L6" s="1">
        <f t="shared" si="0"/>
        <v>11479</v>
      </c>
      <c r="M6" s="1">
        <f t="shared" si="0"/>
        <v>0</v>
      </c>
      <c r="N6" s="1">
        <f t="shared" si="0"/>
        <v>0</v>
      </c>
      <c r="O6" s="1">
        <f t="shared" si="0"/>
        <v>1101070336</v>
      </c>
      <c r="P6" s="1">
        <f t="shared" si="0"/>
        <v>268816</v>
      </c>
      <c r="Q6" s="1">
        <f t="shared" si="0"/>
        <v>20370.666666666668</v>
      </c>
      <c r="R6" s="1">
        <f t="shared" si="0"/>
        <v>280295</v>
      </c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 t="s">
        <v>17</v>
      </c>
      <c r="B8" s="1">
        <v>2048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3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28</v>
      </c>
      <c r="M9" s="1" t="s">
        <v>29</v>
      </c>
      <c r="N9" s="1" t="s">
        <v>30</v>
      </c>
      <c r="O9" s="1" t="s">
        <v>31</v>
      </c>
      <c r="P9" s="1" t="s">
        <v>32</v>
      </c>
      <c r="Q9" s="1" t="s">
        <v>4</v>
      </c>
      <c r="R9" s="1" t="s">
        <v>5</v>
      </c>
    </row>
    <row r="10" spans="1:18" x14ac:dyDescent="0.25">
      <c r="A10" s="1">
        <v>1</v>
      </c>
      <c r="B10" s="1">
        <v>3</v>
      </c>
      <c r="C10" s="1">
        <v>1</v>
      </c>
      <c r="D10" s="1">
        <v>34</v>
      </c>
      <c r="E10" s="1">
        <v>20293</v>
      </c>
      <c r="F10" s="1">
        <v>2165121024</v>
      </c>
      <c r="G10" s="1">
        <v>0</v>
      </c>
      <c r="H10" s="1">
        <v>5</v>
      </c>
      <c r="I10" s="1">
        <v>0</v>
      </c>
      <c r="J10" s="1">
        <v>901.09177409816675</v>
      </c>
      <c r="K10" s="1">
        <v>2285406901</v>
      </c>
      <c r="L10" s="1">
        <v>12759</v>
      </c>
      <c r="M10" s="1">
        <v>0</v>
      </c>
      <c r="N10" s="1">
        <v>0</v>
      </c>
      <c r="O10" s="1">
        <v>2280837120</v>
      </c>
      <c r="P10" s="1">
        <v>556845</v>
      </c>
      <c r="Q10" s="1">
        <v>55813</v>
      </c>
      <c r="R10" s="1">
        <v>569604</v>
      </c>
    </row>
    <row r="11" spans="1:18" x14ac:dyDescent="0.25">
      <c r="A11" s="1">
        <v>2</v>
      </c>
      <c r="B11" s="1">
        <v>3</v>
      </c>
      <c r="C11" s="1">
        <v>2</v>
      </c>
      <c r="D11" s="1">
        <v>46</v>
      </c>
      <c r="E11" s="1">
        <v>20358</v>
      </c>
      <c r="F11" s="1">
        <v>2165121024</v>
      </c>
      <c r="G11" s="1">
        <v>0</v>
      </c>
      <c r="H11" s="1">
        <v>5</v>
      </c>
      <c r="I11" s="1">
        <v>0</v>
      </c>
      <c r="J11" s="1">
        <v>898.93883238357239</v>
      </c>
      <c r="K11" s="1">
        <v>2287137475</v>
      </c>
      <c r="L11" s="1">
        <v>11245</v>
      </c>
      <c r="M11" s="1">
        <v>0</v>
      </c>
      <c r="N11" s="1">
        <v>0</v>
      </c>
      <c r="O11" s="1">
        <v>2282577920</v>
      </c>
      <c r="P11" s="1">
        <v>557270</v>
      </c>
      <c r="Q11" s="1">
        <v>49101</v>
      </c>
      <c r="R11" s="1">
        <v>568515</v>
      </c>
    </row>
    <row r="12" spans="1:18" x14ac:dyDescent="0.25">
      <c r="A12" s="1">
        <v>3</v>
      </c>
      <c r="B12" s="1">
        <v>3</v>
      </c>
      <c r="C12" s="1">
        <v>2</v>
      </c>
      <c r="D12" s="1">
        <v>295</v>
      </c>
      <c r="E12" s="1">
        <v>20333</v>
      </c>
      <c r="F12" s="1">
        <v>2165121024</v>
      </c>
      <c r="G12" s="1">
        <v>0</v>
      </c>
      <c r="H12" s="1">
        <v>5</v>
      </c>
      <c r="I12" s="1">
        <v>0</v>
      </c>
      <c r="J12" s="1">
        <v>899.56129378781179</v>
      </c>
      <c r="K12" s="1">
        <v>2285910199</v>
      </c>
      <c r="L12" s="1">
        <v>12593</v>
      </c>
      <c r="M12" s="1">
        <v>0</v>
      </c>
      <c r="N12" s="1">
        <v>0</v>
      </c>
      <c r="O12" s="1">
        <v>2281340928</v>
      </c>
      <c r="P12" s="1">
        <v>556968</v>
      </c>
      <c r="Q12" s="1">
        <v>47276</v>
      </c>
      <c r="R12" s="1">
        <v>569561</v>
      </c>
    </row>
    <row r="13" spans="1:18" x14ac:dyDescent="0.25">
      <c r="A13" s="1" t="s">
        <v>33</v>
      </c>
      <c r="B13" s="1">
        <f t="shared" ref="B13:R13" si="1">AVERAGE(B10:B12)</f>
        <v>3</v>
      </c>
      <c r="C13" s="1">
        <f t="shared" si="1"/>
        <v>1.6666666666666667</v>
      </c>
      <c r="D13" s="1">
        <f t="shared" si="1"/>
        <v>125</v>
      </c>
      <c r="E13" s="1">
        <f t="shared" si="1"/>
        <v>20328</v>
      </c>
      <c r="F13" s="1">
        <f t="shared" si="1"/>
        <v>2165121024</v>
      </c>
      <c r="G13" s="1">
        <f t="shared" si="1"/>
        <v>0</v>
      </c>
      <c r="H13" s="1">
        <f t="shared" si="1"/>
        <v>5</v>
      </c>
      <c r="I13" s="1">
        <f t="shared" si="1"/>
        <v>0</v>
      </c>
      <c r="J13" s="1">
        <f t="shared" si="1"/>
        <v>899.86396675651702</v>
      </c>
      <c r="K13" s="1">
        <f t="shared" si="1"/>
        <v>2286151525</v>
      </c>
      <c r="L13" s="1">
        <f t="shared" si="1"/>
        <v>12199</v>
      </c>
      <c r="M13" s="1">
        <f t="shared" si="1"/>
        <v>0</v>
      </c>
      <c r="N13" s="1">
        <f t="shared" si="1"/>
        <v>0</v>
      </c>
      <c r="O13" s="1">
        <f t="shared" si="1"/>
        <v>2281585322.6666665</v>
      </c>
      <c r="P13" s="1">
        <f t="shared" si="1"/>
        <v>557027.66666666663</v>
      </c>
      <c r="Q13" s="1">
        <f t="shared" si="1"/>
        <v>50730</v>
      </c>
      <c r="R13" s="1">
        <f t="shared" si="1"/>
        <v>569226.66666666663</v>
      </c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 t="s">
        <v>17</v>
      </c>
      <c r="B15" s="1">
        <v>4096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3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26</v>
      </c>
      <c r="K16" s="1" t="s">
        <v>27</v>
      </c>
      <c r="L16" s="1" t="s">
        <v>28</v>
      </c>
      <c r="M16" s="1" t="s">
        <v>29</v>
      </c>
      <c r="N16" s="1" t="s">
        <v>30</v>
      </c>
      <c r="O16" s="1" t="s">
        <v>31</v>
      </c>
      <c r="P16" s="1" t="s">
        <v>32</v>
      </c>
      <c r="Q16" s="1" t="s">
        <v>4</v>
      </c>
      <c r="R16" s="1" t="s">
        <v>5</v>
      </c>
    </row>
    <row r="17" spans="1:18" x14ac:dyDescent="0.25">
      <c r="A17" s="1">
        <v>1</v>
      </c>
      <c r="B17" s="1">
        <v>3</v>
      </c>
      <c r="C17" s="1">
        <v>3</v>
      </c>
      <c r="D17" s="1">
        <v>105</v>
      </c>
      <c r="E17" s="1">
        <v>34093</v>
      </c>
      <c r="F17" s="1">
        <v>4312604672</v>
      </c>
      <c r="G17" s="1">
        <v>0</v>
      </c>
      <c r="H17" s="1">
        <v>5</v>
      </c>
      <c r="I17" s="1">
        <v>0</v>
      </c>
      <c r="J17" s="1">
        <v>835.24679964799066</v>
      </c>
      <c r="K17" s="1">
        <v>3558983041</v>
      </c>
      <c r="L17" s="1">
        <v>270659</v>
      </c>
      <c r="M17" s="1">
        <v>0</v>
      </c>
      <c r="N17" s="1">
        <v>0</v>
      </c>
      <c r="O17" s="1">
        <v>3549614080</v>
      </c>
      <c r="P17" s="1">
        <v>866605</v>
      </c>
      <c r="Q17" s="1">
        <v>33678</v>
      </c>
      <c r="R17" s="1">
        <v>1137264</v>
      </c>
    </row>
    <row r="18" spans="1:18" x14ac:dyDescent="0.25">
      <c r="A18" s="1">
        <v>2</v>
      </c>
      <c r="B18" s="1">
        <v>4</v>
      </c>
      <c r="C18" s="1">
        <v>3</v>
      </c>
      <c r="D18" s="1">
        <v>84</v>
      </c>
      <c r="E18" s="1">
        <v>35202</v>
      </c>
      <c r="F18" s="1">
        <v>4312604672</v>
      </c>
      <c r="G18" s="1">
        <v>0</v>
      </c>
      <c r="H18" s="1">
        <v>6</v>
      </c>
      <c r="I18" s="1">
        <v>0</v>
      </c>
      <c r="J18" s="1">
        <v>767.63022267678059</v>
      </c>
      <c r="K18" s="1">
        <v>3377264616</v>
      </c>
      <c r="L18" s="1">
        <v>324298</v>
      </c>
      <c r="M18" s="1">
        <v>0</v>
      </c>
      <c r="N18" s="1">
        <v>0</v>
      </c>
      <c r="O18" s="1">
        <v>3367768064</v>
      </c>
      <c r="P18" s="1">
        <v>822209</v>
      </c>
      <c r="Q18" s="1">
        <v>181754</v>
      </c>
      <c r="R18" s="1">
        <v>1146507</v>
      </c>
    </row>
    <row r="19" spans="1:18" x14ac:dyDescent="0.25">
      <c r="A19" s="1">
        <v>3</v>
      </c>
      <c r="B19" s="1">
        <v>3</v>
      </c>
      <c r="C19" s="1">
        <v>2</v>
      </c>
      <c r="D19" s="1">
        <v>108</v>
      </c>
      <c r="E19" s="1">
        <v>34126</v>
      </c>
      <c r="F19" s="1">
        <v>4312604672</v>
      </c>
      <c r="G19" s="1">
        <v>0</v>
      </c>
      <c r="H19" s="1">
        <v>5</v>
      </c>
      <c r="I19" s="1">
        <v>0</v>
      </c>
      <c r="J19" s="1">
        <v>827.50889883952641</v>
      </c>
      <c r="K19" s="1">
        <v>3529526824</v>
      </c>
      <c r="L19" s="1">
        <v>278666</v>
      </c>
      <c r="M19" s="1">
        <v>0</v>
      </c>
      <c r="N19" s="1">
        <v>0</v>
      </c>
      <c r="O19" s="1">
        <v>3520143360</v>
      </c>
      <c r="P19" s="1">
        <v>859410</v>
      </c>
      <c r="Q19" s="1">
        <v>37146</v>
      </c>
      <c r="R19" s="1">
        <v>1138076</v>
      </c>
    </row>
    <row r="20" spans="1:18" x14ac:dyDescent="0.25">
      <c r="A20" s="1" t="s">
        <v>33</v>
      </c>
      <c r="B20" s="1">
        <f t="shared" ref="B20:R20" si="2">AVERAGE(B17:B19)</f>
        <v>3.3333333333333335</v>
      </c>
      <c r="C20" s="1">
        <f t="shared" si="2"/>
        <v>2.6666666666666665</v>
      </c>
      <c r="D20" s="1">
        <f t="shared" si="2"/>
        <v>99</v>
      </c>
      <c r="E20" s="1">
        <f t="shared" si="2"/>
        <v>34473.666666666664</v>
      </c>
      <c r="F20" s="1">
        <f t="shared" si="2"/>
        <v>4312604672</v>
      </c>
      <c r="G20" s="1">
        <f t="shared" si="2"/>
        <v>0</v>
      </c>
      <c r="H20" s="1">
        <f t="shared" si="2"/>
        <v>5.333333333333333</v>
      </c>
      <c r="I20" s="1">
        <f t="shared" si="2"/>
        <v>0</v>
      </c>
      <c r="J20" s="1">
        <f t="shared" si="2"/>
        <v>810.12864038809914</v>
      </c>
      <c r="K20" s="1">
        <f t="shared" si="2"/>
        <v>3488591493.6666665</v>
      </c>
      <c r="L20" s="1">
        <f t="shared" si="2"/>
        <v>291207.66666666669</v>
      </c>
      <c r="M20" s="1">
        <f t="shared" si="2"/>
        <v>0</v>
      </c>
      <c r="N20" s="1">
        <f t="shared" si="2"/>
        <v>0</v>
      </c>
      <c r="O20" s="1">
        <f t="shared" si="2"/>
        <v>3479175168</v>
      </c>
      <c r="P20" s="1">
        <f t="shared" si="2"/>
        <v>849408</v>
      </c>
      <c r="Q20" s="1">
        <f t="shared" si="2"/>
        <v>84192.666666666672</v>
      </c>
      <c r="R20" s="1">
        <f t="shared" si="2"/>
        <v>1140615.6666666667</v>
      </c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17</v>
      </c>
      <c r="B22" s="1">
        <v>8192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 s="1" t="s">
        <v>21</v>
      </c>
      <c r="E23" s="1" t="s">
        <v>3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  <c r="N23" s="1" t="s">
        <v>30</v>
      </c>
      <c r="O23" s="1" t="s">
        <v>31</v>
      </c>
      <c r="P23" s="1" t="s">
        <v>32</v>
      </c>
      <c r="Q23" s="1" t="s">
        <v>4</v>
      </c>
      <c r="R23" s="1" t="s">
        <v>5</v>
      </c>
    </row>
    <row r="24" spans="1:18" x14ac:dyDescent="0.25">
      <c r="A24" s="1">
        <v>1</v>
      </c>
      <c r="B24" s="1">
        <v>4</v>
      </c>
      <c r="C24" s="1">
        <v>5</v>
      </c>
      <c r="D24" s="1">
        <v>70</v>
      </c>
      <c r="E24" s="1">
        <v>50416</v>
      </c>
      <c r="F24" s="1">
        <v>8607571968</v>
      </c>
      <c r="G24" s="1">
        <v>0</v>
      </c>
      <c r="H24" s="1">
        <v>6</v>
      </c>
      <c r="I24" s="1">
        <v>0</v>
      </c>
      <c r="J24" s="1">
        <v>567.88416861399298</v>
      </c>
      <c r="K24" s="1">
        <v>3578238693</v>
      </c>
      <c r="L24" s="1">
        <v>1335383</v>
      </c>
      <c r="M24" s="1">
        <v>0</v>
      </c>
      <c r="N24" s="1">
        <v>0</v>
      </c>
      <c r="O24" s="1">
        <v>3559268352</v>
      </c>
      <c r="P24" s="1">
        <v>868962</v>
      </c>
      <c r="Q24" s="1">
        <v>187241</v>
      </c>
      <c r="R24" s="1">
        <v>2204345</v>
      </c>
    </row>
    <row r="25" spans="1:18" x14ac:dyDescent="0.25">
      <c r="A25" s="1">
        <v>2</v>
      </c>
      <c r="B25" s="1">
        <v>4</v>
      </c>
      <c r="C25" s="1">
        <v>4</v>
      </c>
      <c r="D25" s="1">
        <v>36</v>
      </c>
      <c r="E25" s="1">
        <v>50043</v>
      </c>
      <c r="F25" s="1">
        <v>8607571968</v>
      </c>
      <c r="G25" s="1">
        <v>0</v>
      </c>
      <c r="H25" s="1">
        <v>6</v>
      </c>
      <c r="I25" s="1">
        <v>0</v>
      </c>
      <c r="J25" s="1">
        <v>608.18866931793195</v>
      </c>
      <c r="K25" s="1">
        <v>3803931693</v>
      </c>
      <c r="L25" s="1">
        <v>1274927</v>
      </c>
      <c r="M25" s="1">
        <v>0</v>
      </c>
      <c r="N25" s="1">
        <v>0</v>
      </c>
      <c r="O25" s="1">
        <v>3785064448</v>
      </c>
      <c r="P25" s="1">
        <v>924088</v>
      </c>
      <c r="Q25" s="1">
        <v>122535</v>
      </c>
      <c r="R25" s="1">
        <v>2199015</v>
      </c>
    </row>
    <row r="26" spans="1:18" x14ac:dyDescent="0.25">
      <c r="A26" s="1">
        <v>3</v>
      </c>
      <c r="B26" s="1">
        <v>4</v>
      </c>
      <c r="C26" s="1">
        <v>5</v>
      </c>
      <c r="D26" s="1">
        <v>75</v>
      </c>
      <c r="E26" s="1">
        <v>50457</v>
      </c>
      <c r="F26" s="1">
        <v>8607571968</v>
      </c>
      <c r="G26" s="1">
        <v>0</v>
      </c>
      <c r="H26" s="1">
        <v>6</v>
      </c>
      <c r="I26" s="1">
        <v>0</v>
      </c>
      <c r="J26" s="1">
        <v>594.14318956632053</v>
      </c>
      <c r="K26" s="1">
        <v>3746751615</v>
      </c>
      <c r="L26" s="1">
        <v>1300569</v>
      </c>
      <c r="M26" s="1">
        <v>0</v>
      </c>
      <c r="N26" s="1">
        <v>0</v>
      </c>
      <c r="O26" s="1">
        <v>3727765504</v>
      </c>
      <c r="P26" s="1">
        <v>910099</v>
      </c>
      <c r="Q26" s="1">
        <v>157124</v>
      </c>
      <c r="R26" s="1">
        <v>2210668</v>
      </c>
    </row>
    <row r="27" spans="1:18" x14ac:dyDescent="0.25">
      <c r="A27" s="1" t="s">
        <v>33</v>
      </c>
      <c r="B27" s="1">
        <f t="shared" ref="B27:R27" si="3">AVERAGE(B24:B26)</f>
        <v>4</v>
      </c>
      <c r="C27" s="1">
        <f t="shared" si="3"/>
        <v>4.666666666666667</v>
      </c>
      <c r="D27" s="1">
        <f t="shared" si="3"/>
        <v>60.333333333333336</v>
      </c>
      <c r="E27" s="1">
        <f t="shared" si="3"/>
        <v>50305.333333333336</v>
      </c>
      <c r="F27" s="1">
        <f t="shared" si="3"/>
        <v>8607571968</v>
      </c>
      <c r="G27" s="1">
        <f t="shared" si="3"/>
        <v>0</v>
      </c>
      <c r="H27" s="1">
        <f t="shared" si="3"/>
        <v>6</v>
      </c>
      <c r="I27" s="1">
        <f t="shared" si="3"/>
        <v>0</v>
      </c>
      <c r="J27" s="1">
        <f t="shared" si="3"/>
        <v>590.07200916608178</v>
      </c>
      <c r="K27" s="1">
        <f t="shared" si="3"/>
        <v>3709640667</v>
      </c>
      <c r="L27" s="1">
        <f t="shared" si="3"/>
        <v>1303626.3333333333</v>
      </c>
      <c r="M27" s="1">
        <f t="shared" si="3"/>
        <v>0</v>
      </c>
      <c r="N27" s="1">
        <f t="shared" si="3"/>
        <v>0</v>
      </c>
      <c r="O27" s="1">
        <f t="shared" si="3"/>
        <v>3690699434.6666665</v>
      </c>
      <c r="P27" s="1">
        <f t="shared" si="3"/>
        <v>901049.66666666663</v>
      </c>
      <c r="Q27" s="1">
        <f t="shared" si="3"/>
        <v>155633.33333333334</v>
      </c>
      <c r="R27" s="1">
        <f t="shared" si="3"/>
        <v>2204676</v>
      </c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 t="s">
        <v>17</v>
      </c>
      <c r="B29" s="1">
        <v>12288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 s="1" t="s">
        <v>21</v>
      </c>
      <c r="E30" s="1" t="s">
        <v>3</v>
      </c>
      <c r="F30" s="1" t="s">
        <v>22</v>
      </c>
      <c r="G30" s="1" t="s">
        <v>23</v>
      </c>
      <c r="H30" s="1" t="s">
        <v>24</v>
      </c>
      <c r="I30" s="1" t="s">
        <v>25</v>
      </c>
      <c r="J30" s="1" t="s">
        <v>26</v>
      </c>
      <c r="K30" s="1" t="s">
        <v>27</v>
      </c>
      <c r="L30" s="1" t="s">
        <v>28</v>
      </c>
      <c r="M30" s="1" t="s">
        <v>29</v>
      </c>
      <c r="N30" s="1" t="s">
        <v>30</v>
      </c>
      <c r="O30" s="1" t="s">
        <v>31</v>
      </c>
      <c r="P30" s="1" t="s">
        <v>32</v>
      </c>
      <c r="Q30" s="1" t="s">
        <v>4</v>
      </c>
      <c r="R30" s="1" t="s">
        <v>5</v>
      </c>
    </row>
    <row r="31" spans="1:18" x14ac:dyDescent="0.25">
      <c r="A31" s="1">
        <v>1</v>
      </c>
      <c r="B31" s="1">
        <v>3</v>
      </c>
      <c r="C31" s="1">
        <v>6</v>
      </c>
      <c r="D31" s="1">
        <v>38</v>
      </c>
      <c r="E31" s="1">
        <v>64167</v>
      </c>
      <c r="F31" s="1">
        <v>12902539264</v>
      </c>
      <c r="G31" s="1">
        <v>0</v>
      </c>
      <c r="H31" s="1">
        <v>5</v>
      </c>
      <c r="I31" s="1">
        <v>0</v>
      </c>
      <c r="J31" s="1">
        <v>528.03255136297753</v>
      </c>
      <c r="K31" s="1">
        <v>4234674682</v>
      </c>
      <c r="L31" s="1">
        <v>2175468</v>
      </c>
      <c r="M31" s="1">
        <v>0</v>
      </c>
      <c r="N31" s="1">
        <v>0</v>
      </c>
      <c r="O31" s="1">
        <v>4206878720</v>
      </c>
      <c r="P31" s="1">
        <v>1027070</v>
      </c>
      <c r="Q31" s="1">
        <v>64359</v>
      </c>
      <c r="R31" s="1">
        <v>3202538</v>
      </c>
    </row>
    <row r="32" spans="1:18" x14ac:dyDescent="0.25">
      <c r="A32" s="1">
        <v>2</v>
      </c>
      <c r="B32" s="1">
        <v>4</v>
      </c>
      <c r="C32" s="1">
        <v>5</v>
      </c>
      <c r="D32" s="1">
        <v>55</v>
      </c>
      <c r="E32" s="1">
        <v>65429</v>
      </c>
      <c r="F32" s="1">
        <v>12902539264</v>
      </c>
      <c r="G32" s="1">
        <v>0</v>
      </c>
      <c r="H32" s="1">
        <v>6</v>
      </c>
      <c r="I32" s="1">
        <v>0</v>
      </c>
      <c r="J32" s="1">
        <v>492.17704744436293</v>
      </c>
      <c r="K32" s="1">
        <v>4024811484</v>
      </c>
      <c r="L32" s="1">
        <v>2287070</v>
      </c>
      <c r="M32" s="1">
        <v>0</v>
      </c>
      <c r="N32" s="1">
        <v>0</v>
      </c>
      <c r="O32" s="1">
        <v>3996422144</v>
      </c>
      <c r="P32" s="1">
        <v>975689</v>
      </c>
      <c r="Q32" s="1">
        <v>184415</v>
      </c>
      <c r="R32" s="1">
        <v>3262759</v>
      </c>
    </row>
    <row r="33" spans="1:18" x14ac:dyDescent="0.25">
      <c r="A33" s="1">
        <v>3</v>
      </c>
      <c r="B33" s="1">
        <v>4</v>
      </c>
      <c r="C33" s="1">
        <v>6</v>
      </c>
      <c r="D33" s="1">
        <v>94</v>
      </c>
      <c r="E33" s="1">
        <v>64845</v>
      </c>
      <c r="F33" s="1">
        <v>12902539264</v>
      </c>
      <c r="G33" s="1">
        <v>0</v>
      </c>
      <c r="H33" s="1">
        <v>6</v>
      </c>
      <c r="I33" s="1">
        <v>0</v>
      </c>
      <c r="J33" s="1">
        <v>472.34384799272038</v>
      </c>
      <c r="K33" s="1">
        <v>3828075435</v>
      </c>
      <c r="L33" s="1">
        <v>2339221</v>
      </c>
      <c r="M33" s="1">
        <v>0</v>
      </c>
      <c r="N33" s="1">
        <v>0</v>
      </c>
      <c r="O33" s="1">
        <v>3799601152</v>
      </c>
      <c r="P33" s="1">
        <v>927637</v>
      </c>
      <c r="Q33" s="1">
        <v>198144</v>
      </c>
      <c r="R33" s="1">
        <v>3266858</v>
      </c>
    </row>
    <row r="34" spans="1:18" x14ac:dyDescent="0.25">
      <c r="A34" s="1" t="s">
        <v>33</v>
      </c>
      <c r="B34" s="1">
        <f t="shared" ref="B34:R34" si="4">AVERAGE(B31:B33)</f>
        <v>3.6666666666666665</v>
      </c>
      <c r="C34" s="1">
        <f t="shared" si="4"/>
        <v>5.666666666666667</v>
      </c>
      <c r="D34" s="1">
        <f t="shared" si="4"/>
        <v>62.333333333333336</v>
      </c>
      <c r="E34" s="1">
        <f t="shared" si="4"/>
        <v>64813.666666666664</v>
      </c>
      <c r="F34" s="1">
        <f t="shared" si="4"/>
        <v>12902539264</v>
      </c>
      <c r="G34" s="1">
        <f t="shared" si="4"/>
        <v>0</v>
      </c>
      <c r="H34" s="1">
        <f t="shared" si="4"/>
        <v>5.666666666666667</v>
      </c>
      <c r="I34" s="1">
        <f t="shared" si="4"/>
        <v>0</v>
      </c>
      <c r="J34" s="1">
        <f t="shared" si="4"/>
        <v>497.51781560002024</v>
      </c>
      <c r="K34" s="1">
        <f t="shared" si="4"/>
        <v>4029187200.3333335</v>
      </c>
      <c r="L34" s="1">
        <f t="shared" si="4"/>
        <v>2267253</v>
      </c>
      <c r="M34" s="1">
        <f t="shared" si="4"/>
        <v>0</v>
      </c>
      <c r="N34" s="1">
        <f t="shared" si="4"/>
        <v>0</v>
      </c>
      <c r="O34" s="1">
        <f t="shared" si="4"/>
        <v>4000967338.6666665</v>
      </c>
      <c r="P34" s="1">
        <f t="shared" si="4"/>
        <v>976798.66666666663</v>
      </c>
      <c r="Q34" s="1">
        <f t="shared" si="4"/>
        <v>148972.66666666666</v>
      </c>
      <c r="R34" s="1">
        <f t="shared" si="4"/>
        <v>3244051.6666666665</v>
      </c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 t="s">
        <v>17</v>
      </c>
      <c r="B36" s="1">
        <v>16384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 s="1" t="s">
        <v>21</v>
      </c>
      <c r="E37" s="1" t="s">
        <v>3</v>
      </c>
      <c r="F37" s="1" t="s">
        <v>22</v>
      </c>
      <c r="G37" s="1" t="s">
        <v>23</v>
      </c>
      <c r="H37" s="1" t="s">
        <v>24</v>
      </c>
      <c r="I37" s="1" t="s">
        <v>25</v>
      </c>
      <c r="J37" s="1" t="s">
        <v>26</v>
      </c>
      <c r="K37" s="1" t="s">
        <v>27</v>
      </c>
      <c r="L37" s="1" t="s">
        <v>28</v>
      </c>
      <c r="M37" s="1" t="s">
        <v>29</v>
      </c>
      <c r="N37" s="1" t="s">
        <v>30</v>
      </c>
      <c r="O37" s="1" t="s">
        <v>31</v>
      </c>
      <c r="P37" s="1" t="s">
        <v>32</v>
      </c>
      <c r="Q37" s="1" t="s">
        <v>4</v>
      </c>
      <c r="R37" s="1" t="s">
        <v>5</v>
      </c>
    </row>
    <row r="38" spans="1:18" x14ac:dyDescent="0.25">
      <c r="A38" s="1">
        <v>1</v>
      </c>
      <c r="B38" s="1">
        <v>4</v>
      </c>
      <c r="C38" s="1">
        <v>8</v>
      </c>
      <c r="D38" s="1">
        <v>59</v>
      </c>
      <c r="E38" s="1">
        <v>77870</v>
      </c>
      <c r="F38" s="1">
        <v>17197506560</v>
      </c>
      <c r="G38" s="1">
        <v>0</v>
      </c>
      <c r="H38" s="1">
        <v>6</v>
      </c>
      <c r="I38" s="1">
        <v>0</v>
      </c>
      <c r="J38" s="1">
        <v>406.91155932290462</v>
      </c>
      <c r="K38" s="1">
        <v>3960156069</v>
      </c>
      <c r="L38" s="1">
        <v>3357647</v>
      </c>
      <c r="M38" s="1">
        <v>0</v>
      </c>
      <c r="N38" s="1">
        <v>0</v>
      </c>
      <c r="O38" s="1">
        <v>3922276352</v>
      </c>
      <c r="P38" s="1">
        <v>957587</v>
      </c>
      <c r="Q38" s="1">
        <v>145771</v>
      </c>
      <c r="R38" s="1">
        <v>4315234</v>
      </c>
    </row>
    <row r="39" spans="1:18" x14ac:dyDescent="0.25">
      <c r="A39" s="1">
        <v>2</v>
      </c>
      <c r="B39" s="1">
        <v>4</v>
      </c>
      <c r="C39" s="1">
        <v>7</v>
      </c>
      <c r="D39" s="1">
        <v>65</v>
      </c>
      <c r="E39" s="1">
        <v>77431</v>
      </c>
      <c r="F39" s="1">
        <v>17197506560</v>
      </c>
      <c r="G39" s="1">
        <v>0</v>
      </c>
      <c r="H39" s="1">
        <v>6</v>
      </c>
      <c r="I39" s="1">
        <v>0</v>
      </c>
      <c r="J39" s="1">
        <v>426.62211417648268</v>
      </c>
      <c r="K39" s="1">
        <v>4128636411</v>
      </c>
      <c r="L39" s="1">
        <v>3393997</v>
      </c>
      <c r="M39" s="1">
        <v>0</v>
      </c>
      <c r="N39" s="1">
        <v>0</v>
      </c>
      <c r="O39" s="1">
        <v>4090101760</v>
      </c>
      <c r="P39" s="1">
        <v>998560</v>
      </c>
      <c r="Q39" s="1">
        <v>42366</v>
      </c>
      <c r="R39" s="1">
        <v>4392557</v>
      </c>
    </row>
    <row r="40" spans="1:18" x14ac:dyDescent="0.25">
      <c r="A40" s="1">
        <v>3</v>
      </c>
      <c r="B40" s="1">
        <v>3</v>
      </c>
      <c r="C40" s="1">
        <v>8</v>
      </c>
      <c r="D40" s="1">
        <v>60</v>
      </c>
      <c r="E40" s="1">
        <v>77153</v>
      </c>
      <c r="F40" s="1">
        <v>17197506560</v>
      </c>
      <c r="G40" s="1">
        <v>0</v>
      </c>
      <c r="H40" s="1">
        <v>5</v>
      </c>
      <c r="I40" s="1">
        <v>0</v>
      </c>
      <c r="J40" s="1">
        <v>416.64940991639122</v>
      </c>
      <c r="K40" s="1">
        <v>4017589957</v>
      </c>
      <c r="L40" s="1">
        <v>3284511</v>
      </c>
      <c r="M40" s="1">
        <v>0</v>
      </c>
      <c r="N40" s="1">
        <v>0</v>
      </c>
      <c r="O40" s="1">
        <v>3980255232</v>
      </c>
      <c r="P40" s="1">
        <v>971742</v>
      </c>
      <c r="Q40" s="1">
        <v>94798</v>
      </c>
      <c r="R40" s="1">
        <v>4256253</v>
      </c>
    </row>
    <row r="41" spans="1:18" x14ac:dyDescent="0.25">
      <c r="A41" s="1" t="s">
        <v>33</v>
      </c>
      <c r="B41" s="1">
        <f t="shared" ref="B41:R41" si="5">AVERAGE(B38:B40)</f>
        <v>3.6666666666666665</v>
      </c>
      <c r="C41" s="1">
        <f t="shared" si="5"/>
        <v>7.666666666666667</v>
      </c>
      <c r="D41" s="1">
        <f t="shared" si="5"/>
        <v>61.333333333333336</v>
      </c>
      <c r="E41" s="1">
        <f t="shared" si="5"/>
        <v>77484.666666666672</v>
      </c>
      <c r="F41" s="1">
        <f t="shared" si="5"/>
        <v>17197506560</v>
      </c>
      <c r="G41" s="1">
        <f t="shared" si="5"/>
        <v>0</v>
      </c>
      <c r="H41" s="1">
        <f t="shared" si="5"/>
        <v>5.666666666666667</v>
      </c>
      <c r="I41" s="1">
        <f t="shared" si="5"/>
        <v>0</v>
      </c>
      <c r="J41" s="1">
        <f t="shared" si="5"/>
        <v>416.72769447192621</v>
      </c>
      <c r="K41" s="1">
        <f t="shared" si="5"/>
        <v>4035460812.3333335</v>
      </c>
      <c r="L41" s="1">
        <f t="shared" si="5"/>
        <v>3345385</v>
      </c>
      <c r="M41" s="1">
        <f t="shared" si="5"/>
        <v>0</v>
      </c>
      <c r="N41" s="1">
        <f t="shared" si="5"/>
        <v>0</v>
      </c>
      <c r="O41" s="1">
        <f t="shared" si="5"/>
        <v>3997544448</v>
      </c>
      <c r="P41" s="1">
        <f t="shared" si="5"/>
        <v>975963</v>
      </c>
      <c r="Q41" s="1">
        <f t="shared" si="5"/>
        <v>94311.666666666672</v>
      </c>
      <c r="R41" s="1">
        <f t="shared" si="5"/>
        <v>4321348</v>
      </c>
    </row>
    <row r="42" spans="1:1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2"/>
  <sheetViews>
    <sheetView workbookViewId="0"/>
  </sheetViews>
  <sheetFormatPr defaultRowHeight="15" x14ac:dyDescent="0.25"/>
  <cols>
    <col min="1" max="1" width="12" customWidth="1"/>
    <col min="2" max="6" width="19" customWidth="1"/>
    <col min="7" max="7" width="23" customWidth="1"/>
    <col min="8" max="8" width="22" customWidth="1"/>
    <col min="9" max="12" width="19" customWidth="1"/>
    <col min="13" max="13" width="22" customWidth="1"/>
    <col min="14" max="16" width="19" customWidth="1"/>
    <col min="17" max="17" width="24" customWidth="1"/>
    <col min="18" max="18" width="30" customWidth="1"/>
  </cols>
  <sheetData>
    <row r="1" spans="1:18" x14ac:dyDescent="0.25">
      <c r="A1" s="1" t="s">
        <v>17</v>
      </c>
      <c r="B1" s="1">
        <v>1024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3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4</v>
      </c>
      <c r="R2" s="1" t="s">
        <v>5</v>
      </c>
    </row>
    <row r="3" spans="1:18" x14ac:dyDescent="0.25">
      <c r="A3" s="1">
        <v>1</v>
      </c>
      <c r="B3" s="1">
        <v>3</v>
      </c>
      <c r="C3" s="1">
        <v>2</v>
      </c>
      <c r="D3" s="1">
        <v>534</v>
      </c>
      <c r="E3" s="1">
        <v>10096</v>
      </c>
      <c r="F3" s="1">
        <v>1091379200</v>
      </c>
      <c r="G3" s="1">
        <v>0</v>
      </c>
      <c r="H3" s="1">
        <v>5</v>
      </c>
      <c r="I3" s="1">
        <v>0</v>
      </c>
      <c r="J3" s="1">
        <v>886.8856453338617</v>
      </c>
      <c r="K3" s="1">
        <v>1118815579</v>
      </c>
      <c r="L3" s="1">
        <v>11781</v>
      </c>
      <c r="M3" s="1">
        <v>0</v>
      </c>
      <c r="N3" s="1">
        <v>0</v>
      </c>
      <c r="O3" s="1">
        <v>1116528640</v>
      </c>
      <c r="P3" s="1">
        <v>272590</v>
      </c>
      <c r="Q3" s="1">
        <v>19938</v>
      </c>
      <c r="R3" s="1">
        <v>284371</v>
      </c>
    </row>
    <row r="4" spans="1:18" x14ac:dyDescent="0.25">
      <c r="A4" s="1">
        <v>2</v>
      </c>
      <c r="B4" s="1">
        <v>2</v>
      </c>
      <c r="C4" s="1">
        <v>2</v>
      </c>
      <c r="D4" s="1">
        <v>367</v>
      </c>
      <c r="E4" s="1">
        <v>9875</v>
      </c>
      <c r="F4" s="1">
        <v>1091379200</v>
      </c>
      <c r="G4" s="1">
        <v>0</v>
      </c>
      <c r="H4" s="1">
        <v>4</v>
      </c>
      <c r="I4" s="1">
        <v>0</v>
      </c>
      <c r="J4" s="1">
        <v>894.80084999493567</v>
      </c>
      <c r="K4" s="1">
        <v>1104083741</v>
      </c>
      <c r="L4" s="1">
        <v>11495</v>
      </c>
      <c r="M4" s="1">
        <v>0</v>
      </c>
      <c r="N4" s="1">
        <v>0</v>
      </c>
      <c r="O4" s="1">
        <v>1101828096</v>
      </c>
      <c r="P4" s="1">
        <v>269001</v>
      </c>
      <c r="Q4" s="1">
        <v>24208</v>
      </c>
      <c r="R4" s="1">
        <v>280496</v>
      </c>
    </row>
    <row r="5" spans="1:18" x14ac:dyDescent="0.25">
      <c r="A5" s="1">
        <v>3</v>
      </c>
      <c r="B5" s="1">
        <v>2</v>
      </c>
      <c r="C5" s="1">
        <v>2</v>
      </c>
      <c r="D5" s="1">
        <v>373</v>
      </c>
      <c r="E5" s="1">
        <v>9890</v>
      </c>
      <c r="F5" s="1">
        <v>1091379200</v>
      </c>
      <c r="G5" s="1">
        <v>0</v>
      </c>
      <c r="H5" s="1">
        <v>4</v>
      </c>
      <c r="I5" s="1">
        <v>0</v>
      </c>
      <c r="J5" s="1">
        <v>894.3435550161812</v>
      </c>
      <c r="K5" s="1">
        <v>1105196276</v>
      </c>
      <c r="L5" s="1">
        <v>11534</v>
      </c>
      <c r="M5" s="1">
        <v>0</v>
      </c>
      <c r="N5" s="1">
        <v>0</v>
      </c>
      <c r="O5" s="1">
        <v>1102938112</v>
      </c>
      <c r="P5" s="1">
        <v>269272</v>
      </c>
      <c r="Q5" s="1">
        <v>24155</v>
      </c>
      <c r="R5" s="1">
        <v>280806</v>
      </c>
    </row>
    <row r="6" spans="1:18" x14ac:dyDescent="0.25">
      <c r="A6" s="1" t="s">
        <v>33</v>
      </c>
      <c r="B6" s="1">
        <f t="shared" ref="B6:R6" si="0">AVERAGE(B3:B5)</f>
        <v>2.3333333333333335</v>
      </c>
      <c r="C6" s="1">
        <f t="shared" si="0"/>
        <v>2</v>
      </c>
      <c r="D6" s="1">
        <f t="shared" si="0"/>
        <v>424.66666666666669</v>
      </c>
      <c r="E6" s="1">
        <f t="shared" si="0"/>
        <v>9953.6666666666661</v>
      </c>
      <c r="F6" s="1">
        <f t="shared" si="0"/>
        <v>1091379200</v>
      </c>
      <c r="G6" s="1">
        <f t="shared" si="0"/>
        <v>0</v>
      </c>
      <c r="H6" s="1">
        <f t="shared" si="0"/>
        <v>4.333333333333333</v>
      </c>
      <c r="I6" s="1">
        <f t="shared" si="0"/>
        <v>0</v>
      </c>
      <c r="J6" s="1">
        <f t="shared" si="0"/>
        <v>892.01001678165949</v>
      </c>
      <c r="K6" s="1">
        <f t="shared" si="0"/>
        <v>1109365198.6666667</v>
      </c>
      <c r="L6" s="1">
        <f t="shared" si="0"/>
        <v>11603.333333333334</v>
      </c>
      <c r="M6" s="1">
        <f t="shared" si="0"/>
        <v>0</v>
      </c>
      <c r="N6" s="1">
        <f t="shared" si="0"/>
        <v>0</v>
      </c>
      <c r="O6" s="1">
        <f t="shared" si="0"/>
        <v>1107098282.6666667</v>
      </c>
      <c r="P6" s="1">
        <f t="shared" si="0"/>
        <v>270287.66666666669</v>
      </c>
      <c r="Q6" s="1">
        <f t="shared" si="0"/>
        <v>22767</v>
      </c>
      <c r="R6" s="1">
        <f t="shared" si="0"/>
        <v>281891</v>
      </c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 t="s">
        <v>17</v>
      </c>
      <c r="B8" s="1">
        <v>2048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3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28</v>
      </c>
      <c r="M9" s="1" t="s">
        <v>29</v>
      </c>
      <c r="N9" s="1" t="s">
        <v>30</v>
      </c>
      <c r="O9" s="1" t="s">
        <v>31</v>
      </c>
      <c r="P9" s="1" t="s">
        <v>32</v>
      </c>
      <c r="Q9" s="1" t="s">
        <v>4</v>
      </c>
      <c r="R9" s="1" t="s">
        <v>5</v>
      </c>
    </row>
    <row r="10" spans="1:18" x14ac:dyDescent="0.25">
      <c r="A10" s="1">
        <v>1</v>
      </c>
      <c r="B10" s="1">
        <v>3</v>
      </c>
      <c r="C10" s="1">
        <v>2</v>
      </c>
      <c r="D10" s="1">
        <v>53</v>
      </c>
      <c r="E10" s="1">
        <v>20711</v>
      </c>
      <c r="F10" s="1">
        <v>2165121024</v>
      </c>
      <c r="G10" s="1">
        <v>0</v>
      </c>
      <c r="H10" s="1">
        <v>5</v>
      </c>
      <c r="I10" s="1">
        <v>0</v>
      </c>
      <c r="J10" s="1">
        <v>887.52223670867738</v>
      </c>
      <c r="K10" s="1">
        <v>2297249866</v>
      </c>
      <c r="L10" s="1">
        <v>12172</v>
      </c>
      <c r="M10" s="1">
        <v>0</v>
      </c>
      <c r="N10" s="1">
        <v>0</v>
      </c>
      <c r="O10" s="1">
        <v>2292662272</v>
      </c>
      <c r="P10" s="1">
        <v>559732</v>
      </c>
      <c r="Q10" s="1">
        <v>55227</v>
      </c>
      <c r="R10" s="1">
        <v>571904</v>
      </c>
    </row>
    <row r="11" spans="1:18" x14ac:dyDescent="0.25">
      <c r="A11" s="1">
        <v>2</v>
      </c>
      <c r="B11" s="1">
        <v>3</v>
      </c>
      <c r="C11" s="1">
        <v>2</v>
      </c>
      <c r="D11" s="1">
        <v>66</v>
      </c>
      <c r="E11" s="1">
        <v>20766</v>
      </c>
      <c r="F11" s="1">
        <v>2165121024</v>
      </c>
      <c r="G11" s="1">
        <v>0</v>
      </c>
      <c r="H11" s="1">
        <v>5</v>
      </c>
      <c r="I11" s="1">
        <v>0</v>
      </c>
      <c r="J11" s="1">
        <v>895.35953111153924</v>
      </c>
      <c r="K11" s="1">
        <v>2323693279</v>
      </c>
      <c r="L11" s="1">
        <v>11409</v>
      </c>
      <c r="M11" s="1">
        <v>0</v>
      </c>
      <c r="N11" s="1">
        <v>0</v>
      </c>
      <c r="O11" s="1">
        <v>2319060992</v>
      </c>
      <c r="P11" s="1">
        <v>566177</v>
      </c>
      <c r="Q11" s="1">
        <v>54363</v>
      </c>
      <c r="R11" s="1">
        <v>577586</v>
      </c>
    </row>
    <row r="12" spans="1:18" x14ac:dyDescent="0.25">
      <c r="A12" s="1">
        <v>3</v>
      </c>
      <c r="B12" s="1">
        <v>3</v>
      </c>
      <c r="C12" s="1">
        <v>1</v>
      </c>
      <c r="D12" s="1">
        <v>499</v>
      </c>
      <c r="E12" s="1">
        <v>20756</v>
      </c>
      <c r="F12" s="1">
        <v>2165121024</v>
      </c>
      <c r="G12" s="1">
        <v>0</v>
      </c>
      <c r="H12" s="1">
        <v>5</v>
      </c>
      <c r="I12" s="1">
        <v>0</v>
      </c>
      <c r="J12" s="1">
        <v>881.57516473139003</v>
      </c>
      <c r="K12" s="1">
        <v>2286924184</v>
      </c>
      <c r="L12" s="1">
        <v>12626</v>
      </c>
      <c r="M12" s="1">
        <v>0</v>
      </c>
      <c r="N12" s="1">
        <v>0</v>
      </c>
      <c r="O12" s="1">
        <v>2282352640</v>
      </c>
      <c r="P12" s="1">
        <v>557215</v>
      </c>
      <c r="Q12" s="1">
        <v>44940</v>
      </c>
      <c r="R12" s="1">
        <v>569841</v>
      </c>
    </row>
    <row r="13" spans="1:18" x14ac:dyDescent="0.25">
      <c r="A13" s="1" t="s">
        <v>33</v>
      </c>
      <c r="B13" s="1">
        <f t="shared" ref="B13:R13" si="1">AVERAGE(B10:B12)</f>
        <v>3</v>
      </c>
      <c r="C13" s="1">
        <f t="shared" si="1"/>
        <v>1.6666666666666667</v>
      </c>
      <c r="D13" s="1">
        <f t="shared" si="1"/>
        <v>206</v>
      </c>
      <c r="E13" s="1">
        <f t="shared" si="1"/>
        <v>20744.333333333332</v>
      </c>
      <c r="F13" s="1">
        <f t="shared" si="1"/>
        <v>2165121024</v>
      </c>
      <c r="G13" s="1">
        <f t="shared" si="1"/>
        <v>0</v>
      </c>
      <c r="H13" s="1">
        <f t="shared" si="1"/>
        <v>5</v>
      </c>
      <c r="I13" s="1">
        <f t="shared" si="1"/>
        <v>0</v>
      </c>
      <c r="J13" s="1">
        <f t="shared" si="1"/>
        <v>888.15231085053563</v>
      </c>
      <c r="K13" s="1">
        <f t="shared" si="1"/>
        <v>2302622443</v>
      </c>
      <c r="L13" s="1">
        <f t="shared" si="1"/>
        <v>12069</v>
      </c>
      <c r="M13" s="1">
        <f t="shared" si="1"/>
        <v>0</v>
      </c>
      <c r="N13" s="1">
        <f t="shared" si="1"/>
        <v>0</v>
      </c>
      <c r="O13" s="1">
        <f t="shared" si="1"/>
        <v>2298025301.3333335</v>
      </c>
      <c r="P13" s="1">
        <f t="shared" si="1"/>
        <v>561041.33333333337</v>
      </c>
      <c r="Q13" s="1">
        <f t="shared" si="1"/>
        <v>51510</v>
      </c>
      <c r="R13" s="1">
        <f t="shared" si="1"/>
        <v>573110.33333333337</v>
      </c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 t="s">
        <v>17</v>
      </c>
      <c r="B15" s="1">
        <v>4096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3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26</v>
      </c>
      <c r="K16" s="1" t="s">
        <v>27</v>
      </c>
      <c r="L16" s="1" t="s">
        <v>28</v>
      </c>
      <c r="M16" s="1" t="s">
        <v>29</v>
      </c>
      <c r="N16" s="1" t="s">
        <v>30</v>
      </c>
      <c r="O16" s="1" t="s">
        <v>31</v>
      </c>
      <c r="P16" s="1" t="s">
        <v>32</v>
      </c>
      <c r="Q16" s="1" t="s">
        <v>4</v>
      </c>
      <c r="R16" s="1" t="s">
        <v>5</v>
      </c>
    </row>
    <row r="17" spans="1:18" x14ac:dyDescent="0.25">
      <c r="A17" s="1">
        <v>1</v>
      </c>
      <c r="B17" s="1">
        <v>5</v>
      </c>
      <c r="C17" s="1">
        <v>3</v>
      </c>
      <c r="D17" s="1">
        <v>36</v>
      </c>
      <c r="E17" s="1">
        <v>34614</v>
      </c>
      <c r="F17" s="1">
        <v>4312604672</v>
      </c>
      <c r="G17" s="1">
        <v>0</v>
      </c>
      <c r="H17" s="1">
        <v>6</v>
      </c>
      <c r="I17" s="1">
        <v>0</v>
      </c>
      <c r="J17" s="1">
        <v>829.18428800092454</v>
      </c>
      <c r="K17" s="1">
        <v>3587149764</v>
      </c>
      <c r="L17" s="1">
        <v>266206</v>
      </c>
      <c r="M17" s="1">
        <v>0</v>
      </c>
      <c r="N17" s="1">
        <v>0</v>
      </c>
      <c r="O17" s="1">
        <v>3577765888</v>
      </c>
      <c r="P17" s="1">
        <v>873478</v>
      </c>
      <c r="Q17" s="1">
        <v>41251</v>
      </c>
      <c r="R17" s="1">
        <v>1139684</v>
      </c>
    </row>
    <row r="18" spans="1:18" x14ac:dyDescent="0.25">
      <c r="A18" s="1">
        <v>2</v>
      </c>
      <c r="B18" s="1">
        <v>4</v>
      </c>
      <c r="C18" s="1">
        <v>3</v>
      </c>
      <c r="D18" s="1">
        <v>99</v>
      </c>
      <c r="E18" s="1">
        <v>34821</v>
      </c>
      <c r="F18" s="1">
        <v>4312604672</v>
      </c>
      <c r="G18" s="1">
        <v>0</v>
      </c>
      <c r="H18" s="1">
        <v>6</v>
      </c>
      <c r="I18" s="1">
        <v>0</v>
      </c>
      <c r="J18" s="1">
        <v>812.21353391923719</v>
      </c>
      <c r="K18" s="1">
        <v>3534743943</v>
      </c>
      <c r="L18" s="1">
        <v>286065</v>
      </c>
      <c r="M18" s="1">
        <v>0</v>
      </c>
      <c r="N18" s="1">
        <v>0</v>
      </c>
      <c r="O18" s="1">
        <v>3525283840</v>
      </c>
      <c r="P18" s="1">
        <v>860665</v>
      </c>
      <c r="Q18" s="1">
        <v>72203</v>
      </c>
      <c r="R18" s="1">
        <v>1146730</v>
      </c>
    </row>
    <row r="19" spans="1:18" x14ac:dyDescent="0.25">
      <c r="A19" s="1">
        <v>3</v>
      </c>
      <c r="B19" s="1">
        <v>4</v>
      </c>
      <c r="C19" s="1">
        <v>3</v>
      </c>
      <c r="D19" s="1">
        <v>66</v>
      </c>
      <c r="E19" s="1">
        <v>34694</v>
      </c>
      <c r="F19" s="1">
        <v>4312604672</v>
      </c>
      <c r="G19" s="1">
        <v>0</v>
      </c>
      <c r="H19" s="1">
        <v>6</v>
      </c>
      <c r="I19" s="1">
        <v>0</v>
      </c>
      <c r="J19" s="1">
        <v>826.69726787927698</v>
      </c>
      <c r="K19" s="1">
        <v>3584656955</v>
      </c>
      <c r="L19" s="1">
        <v>277416</v>
      </c>
      <c r="M19" s="1">
        <v>0</v>
      </c>
      <c r="N19" s="1">
        <v>0</v>
      </c>
      <c r="O19" s="1">
        <v>3575177216</v>
      </c>
      <c r="P19" s="1">
        <v>872846</v>
      </c>
      <c r="Q19" s="1">
        <v>45999</v>
      </c>
      <c r="R19" s="1">
        <v>1150262</v>
      </c>
    </row>
    <row r="20" spans="1:18" x14ac:dyDescent="0.25">
      <c r="A20" s="1" t="s">
        <v>33</v>
      </c>
      <c r="B20" s="1">
        <f t="shared" ref="B20:R20" si="2">AVERAGE(B17:B19)</f>
        <v>4.333333333333333</v>
      </c>
      <c r="C20" s="1">
        <f t="shared" si="2"/>
        <v>3</v>
      </c>
      <c r="D20" s="1">
        <f t="shared" si="2"/>
        <v>67</v>
      </c>
      <c r="E20" s="1">
        <f t="shared" si="2"/>
        <v>34709.666666666664</v>
      </c>
      <c r="F20" s="1">
        <f t="shared" si="2"/>
        <v>4312604672</v>
      </c>
      <c r="G20" s="1">
        <f t="shared" si="2"/>
        <v>0</v>
      </c>
      <c r="H20" s="1">
        <f t="shared" si="2"/>
        <v>6</v>
      </c>
      <c r="I20" s="1">
        <f t="shared" si="2"/>
        <v>0</v>
      </c>
      <c r="J20" s="1">
        <f t="shared" si="2"/>
        <v>822.69836326647965</v>
      </c>
      <c r="K20" s="1">
        <f t="shared" si="2"/>
        <v>3568850220.6666665</v>
      </c>
      <c r="L20" s="1">
        <f t="shared" si="2"/>
        <v>276562.33333333331</v>
      </c>
      <c r="M20" s="1">
        <f t="shared" si="2"/>
        <v>0</v>
      </c>
      <c r="N20" s="1">
        <f t="shared" si="2"/>
        <v>0</v>
      </c>
      <c r="O20" s="1">
        <f t="shared" si="2"/>
        <v>3559408981.3333335</v>
      </c>
      <c r="P20" s="1">
        <f t="shared" si="2"/>
        <v>868996.33333333337</v>
      </c>
      <c r="Q20" s="1">
        <f t="shared" si="2"/>
        <v>53151</v>
      </c>
      <c r="R20" s="1">
        <f t="shared" si="2"/>
        <v>1145558.6666666667</v>
      </c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17</v>
      </c>
      <c r="B22" s="1">
        <v>8192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 s="1" t="s">
        <v>21</v>
      </c>
      <c r="E23" s="1" t="s">
        <v>3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  <c r="N23" s="1" t="s">
        <v>30</v>
      </c>
      <c r="O23" s="1" t="s">
        <v>31</v>
      </c>
      <c r="P23" s="1" t="s">
        <v>32</v>
      </c>
      <c r="Q23" s="1" t="s">
        <v>4</v>
      </c>
      <c r="R23" s="1" t="s">
        <v>5</v>
      </c>
    </row>
    <row r="24" spans="1:18" x14ac:dyDescent="0.25">
      <c r="A24" s="1">
        <v>1</v>
      </c>
      <c r="B24" s="1">
        <v>4</v>
      </c>
      <c r="C24" s="1">
        <v>5</v>
      </c>
      <c r="D24" s="1">
        <v>171</v>
      </c>
      <c r="E24" s="1">
        <v>51128</v>
      </c>
      <c r="F24" s="1">
        <v>8607571968</v>
      </c>
      <c r="G24" s="1">
        <v>0</v>
      </c>
      <c r="H24" s="1">
        <v>6</v>
      </c>
      <c r="I24" s="1">
        <v>0</v>
      </c>
      <c r="J24" s="1">
        <v>570.8910394147448</v>
      </c>
      <c r="K24" s="1">
        <v>3647995416</v>
      </c>
      <c r="L24" s="1">
        <v>1319994</v>
      </c>
      <c r="M24" s="1">
        <v>0</v>
      </c>
      <c r="N24" s="1">
        <v>0</v>
      </c>
      <c r="O24" s="1">
        <v>3629027328</v>
      </c>
      <c r="P24" s="1">
        <v>885993</v>
      </c>
      <c r="Q24" s="1">
        <v>177818</v>
      </c>
      <c r="R24" s="1">
        <v>2205987</v>
      </c>
    </row>
    <row r="25" spans="1:18" x14ac:dyDescent="0.25">
      <c r="A25" s="1">
        <v>2</v>
      </c>
      <c r="B25" s="1">
        <v>4</v>
      </c>
      <c r="C25" s="1">
        <v>5</v>
      </c>
      <c r="D25" s="1">
        <v>91</v>
      </c>
      <c r="E25" s="1">
        <v>50719</v>
      </c>
      <c r="F25" s="1">
        <v>8607571968</v>
      </c>
      <c r="G25" s="1">
        <v>0</v>
      </c>
      <c r="H25" s="1">
        <v>6</v>
      </c>
      <c r="I25" s="1">
        <v>0</v>
      </c>
      <c r="J25" s="1">
        <v>572.52657159758655</v>
      </c>
      <c r="K25" s="1">
        <v>3629176659</v>
      </c>
      <c r="L25" s="1">
        <v>1322973</v>
      </c>
      <c r="M25" s="1">
        <v>0</v>
      </c>
      <c r="N25" s="1">
        <v>0</v>
      </c>
      <c r="O25" s="1">
        <v>3610218496</v>
      </c>
      <c r="P25" s="1">
        <v>881401</v>
      </c>
      <c r="Q25" s="1">
        <v>153708</v>
      </c>
      <c r="R25" s="1">
        <v>2204374</v>
      </c>
    </row>
    <row r="26" spans="1:18" x14ac:dyDescent="0.25">
      <c r="A26" s="1">
        <v>3</v>
      </c>
      <c r="B26" s="1">
        <v>4</v>
      </c>
      <c r="C26" s="1">
        <v>4</v>
      </c>
      <c r="D26" s="1">
        <v>50</v>
      </c>
      <c r="E26" s="1">
        <v>51610</v>
      </c>
      <c r="F26" s="1">
        <v>8607571968</v>
      </c>
      <c r="G26" s="1">
        <v>0</v>
      </c>
      <c r="H26" s="1">
        <v>6</v>
      </c>
      <c r="I26" s="1">
        <v>0</v>
      </c>
      <c r="J26" s="1">
        <v>570.95210479401624</v>
      </c>
      <c r="K26" s="1">
        <v>3682856880</v>
      </c>
      <c r="L26" s="1">
        <v>1308826</v>
      </c>
      <c r="M26" s="1">
        <v>0</v>
      </c>
      <c r="N26" s="1">
        <v>0</v>
      </c>
      <c r="O26" s="1">
        <v>3663921152</v>
      </c>
      <c r="P26" s="1">
        <v>894512</v>
      </c>
      <c r="Q26" s="1">
        <v>181991</v>
      </c>
      <c r="R26" s="1">
        <v>2203338</v>
      </c>
    </row>
    <row r="27" spans="1:18" x14ac:dyDescent="0.25">
      <c r="A27" s="1" t="s">
        <v>33</v>
      </c>
      <c r="B27" s="1">
        <f t="shared" ref="B27:R27" si="3">AVERAGE(B24:B26)</f>
        <v>4</v>
      </c>
      <c r="C27" s="1">
        <f t="shared" si="3"/>
        <v>4.666666666666667</v>
      </c>
      <c r="D27" s="1">
        <f t="shared" si="3"/>
        <v>104</v>
      </c>
      <c r="E27" s="1">
        <f t="shared" si="3"/>
        <v>51152.333333333336</v>
      </c>
      <c r="F27" s="1">
        <f t="shared" si="3"/>
        <v>8607571968</v>
      </c>
      <c r="G27" s="1">
        <f t="shared" si="3"/>
        <v>0</v>
      </c>
      <c r="H27" s="1">
        <f t="shared" si="3"/>
        <v>6</v>
      </c>
      <c r="I27" s="1">
        <f t="shared" si="3"/>
        <v>0</v>
      </c>
      <c r="J27" s="1">
        <f t="shared" si="3"/>
        <v>571.45657193544912</v>
      </c>
      <c r="K27" s="1">
        <f t="shared" si="3"/>
        <v>3653342985</v>
      </c>
      <c r="L27" s="1">
        <f t="shared" si="3"/>
        <v>1317264.3333333333</v>
      </c>
      <c r="M27" s="1">
        <f t="shared" si="3"/>
        <v>0</v>
      </c>
      <c r="N27" s="1">
        <f t="shared" si="3"/>
        <v>0</v>
      </c>
      <c r="O27" s="1">
        <f t="shared" si="3"/>
        <v>3634388992</v>
      </c>
      <c r="P27" s="1">
        <f t="shared" si="3"/>
        <v>887302</v>
      </c>
      <c r="Q27" s="1">
        <f t="shared" si="3"/>
        <v>171172.33333333334</v>
      </c>
      <c r="R27" s="1">
        <f t="shared" si="3"/>
        <v>2204566.3333333335</v>
      </c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 t="s">
        <v>17</v>
      </c>
      <c r="B29" s="1">
        <v>12288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 s="1" t="s">
        <v>21</v>
      </c>
      <c r="E30" s="1" t="s">
        <v>3</v>
      </c>
      <c r="F30" s="1" t="s">
        <v>22</v>
      </c>
      <c r="G30" s="1" t="s">
        <v>23</v>
      </c>
      <c r="H30" s="1" t="s">
        <v>24</v>
      </c>
      <c r="I30" s="1" t="s">
        <v>25</v>
      </c>
      <c r="J30" s="1" t="s">
        <v>26</v>
      </c>
      <c r="K30" s="1" t="s">
        <v>27</v>
      </c>
      <c r="L30" s="1" t="s">
        <v>28</v>
      </c>
      <c r="M30" s="1" t="s">
        <v>29</v>
      </c>
      <c r="N30" s="1" t="s">
        <v>30</v>
      </c>
      <c r="O30" s="1" t="s">
        <v>31</v>
      </c>
      <c r="P30" s="1" t="s">
        <v>32</v>
      </c>
      <c r="Q30" s="1" t="s">
        <v>4</v>
      </c>
      <c r="R30" s="1" t="s">
        <v>5</v>
      </c>
    </row>
    <row r="31" spans="1:18" x14ac:dyDescent="0.25">
      <c r="A31" s="1">
        <v>1</v>
      </c>
      <c r="B31" s="1">
        <v>4</v>
      </c>
      <c r="C31" s="1">
        <v>6</v>
      </c>
      <c r="D31" s="1">
        <v>31</v>
      </c>
      <c r="E31" s="1">
        <v>67276</v>
      </c>
      <c r="F31" s="1">
        <v>12902539264</v>
      </c>
      <c r="G31" s="1">
        <v>0</v>
      </c>
      <c r="H31" s="1">
        <v>6</v>
      </c>
      <c r="I31" s="1">
        <v>0</v>
      </c>
      <c r="J31" s="1">
        <v>494.82022809573363</v>
      </c>
      <c r="K31" s="1">
        <v>4160607183</v>
      </c>
      <c r="L31" s="1">
        <v>2255433</v>
      </c>
      <c r="M31" s="1">
        <v>0</v>
      </c>
      <c r="N31" s="1">
        <v>0</v>
      </c>
      <c r="O31" s="1">
        <v>4132237312</v>
      </c>
      <c r="P31" s="1">
        <v>1008847</v>
      </c>
      <c r="Q31" s="1">
        <v>103742</v>
      </c>
      <c r="R31" s="1">
        <v>3264280</v>
      </c>
    </row>
    <row r="32" spans="1:18" x14ac:dyDescent="0.25">
      <c r="A32" s="1">
        <v>2</v>
      </c>
      <c r="B32" s="1">
        <v>4</v>
      </c>
      <c r="C32" s="1">
        <v>6</v>
      </c>
      <c r="D32" s="1">
        <v>71</v>
      </c>
      <c r="E32" s="1">
        <v>67852</v>
      </c>
      <c r="F32" s="1">
        <v>12902539264</v>
      </c>
      <c r="G32" s="1">
        <v>0</v>
      </c>
      <c r="H32" s="1">
        <v>6</v>
      </c>
      <c r="I32" s="1">
        <v>0</v>
      </c>
      <c r="J32" s="1">
        <v>480.76133419803682</v>
      </c>
      <c r="K32" s="1">
        <v>4077004275</v>
      </c>
      <c r="L32" s="1">
        <v>2291421</v>
      </c>
      <c r="M32" s="1">
        <v>0</v>
      </c>
      <c r="N32" s="1">
        <v>0</v>
      </c>
      <c r="O32" s="1">
        <v>4048474112</v>
      </c>
      <c r="P32" s="1">
        <v>988397</v>
      </c>
      <c r="Q32" s="1">
        <v>124144</v>
      </c>
      <c r="R32" s="1">
        <v>3279818</v>
      </c>
    </row>
    <row r="33" spans="1:18" x14ac:dyDescent="0.25">
      <c r="A33" s="1">
        <v>3</v>
      </c>
      <c r="B33" s="1">
        <v>4</v>
      </c>
      <c r="C33" s="1">
        <v>6</v>
      </c>
      <c r="D33" s="1">
        <v>53</v>
      </c>
      <c r="E33" s="1">
        <v>67521</v>
      </c>
      <c r="F33" s="1">
        <v>12902539264</v>
      </c>
      <c r="G33" s="1">
        <v>0</v>
      </c>
      <c r="H33" s="1">
        <v>6</v>
      </c>
      <c r="I33" s="1">
        <v>0</v>
      </c>
      <c r="J33" s="1">
        <v>462.83451333777668</v>
      </c>
      <c r="K33" s="1">
        <v>3905821611</v>
      </c>
      <c r="L33" s="1">
        <v>2317789</v>
      </c>
      <c r="M33" s="1">
        <v>0</v>
      </c>
      <c r="N33" s="1">
        <v>0</v>
      </c>
      <c r="O33" s="1">
        <v>3877388288</v>
      </c>
      <c r="P33" s="1">
        <v>946628</v>
      </c>
      <c r="Q33" s="1">
        <v>161170</v>
      </c>
      <c r="R33" s="1">
        <v>3264417</v>
      </c>
    </row>
    <row r="34" spans="1:18" x14ac:dyDescent="0.25">
      <c r="A34" s="1" t="s">
        <v>33</v>
      </c>
      <c r="B34" s="1">
        <f t="shared" ref="B34:R34" si="4">AVERAGE(B31:B33)</f>
        <v>4</v>
      </c>
      <c r="C34" s="1">
        <f t="shared" si="4"/>
        <v>6</v>
      </c>
      <c r="D34" s="1">
        <f t="shared" si="4"/>
        <v>51.666666666666664</v>
      </c>
      <c r="E34" s="1">
        <f t="shared" si="4"/>
        <v>67549.666666666672</v>
      </c>
      <c r="F34" s="1">
        <f t="shared" si="4"/>
        <v>12902539264</v>
      </c>
      <c r="G34" s="1">
        <f t="shared" si="4"/>
        <v>0</v>
      </c>
      <c r="H34" s="1">
        <f t="shared" si="4"/>
        <v>6</v>
      </c>
      <c r="I34" s="1">
        <f t="shared" si="4"/>
        <v>0</v>
      </c>
      <c r="J34" s="1">
        <f t="shared" si="4"/>
        <v>479.47202521051577</v>
      </c>
      <c r="K34" s="1">
        <f t="shared" si="4"/>
        <v>4047811023</v>
      </c>
      <c r="L34" s="1">
        <f t="shared" si="4"/>
        <v>2288214.3333333335</v>
      </c>
      <c r="M34" s="1">
        <f t="shared" si="4"/>
        <v>0</v>
      </c>
      <c r="N34" s="1">
        <f t="shared" si="4"/>
        <v>0</v>
      </c>
      <c r="O34" s="1">
        <f t="shared" si="4"/>
        <v>4019366570.6666665</v>
      </c>
      <c r="P34" s="1">
        <f t="shared" si="4"/>
        <v>981290.66666666663</v>
      </c>
      <c r="Q34" s="1">
        <f t="shared" si="4"/>
        <v>129685.33333333333</v>
      </c>
      <c r="R34" s="1">
        <f t="shared" si="4"/>
        <v>3269505</v>
      </c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 t="s">
        <v>17</v>
      </c>
      <c r="B36" s="1">
        <v>16384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 s="1" t="s">
        <v>21</v>
      </c>
      <c r="E37" s="1" t="s">
        <v>3</v>
      </c>
      <c r="F37" s="1" t="s">
        <v>22</v>
      </c>
      <c r="G37" s="1" t="s">
        <v>23</v>
      </c>
      <c r="H37" s="1" t="s">
        <v>24</v>
      </c>
      <c r="I37" s="1" t="s">
        <v>25</v>
      </c>
      <c r="J37" s="1" t="s">
        <v>26</v>
      </c>
      <c r="K37" s="1" t="s">
        <v>27</v>
      </c>
      <c r="L37" s="1" t="s">
        <v>28</v>
      </c>
      <c r="M37" s="1" t="s">
        <v>29</v>
      </c>
      <c r="N37" s="1" t="s">
        <v>30</v>
      </c>
      <c r="O37" s="1" t="s">
        <v>31</v>
      </c>
      <c r="P37" s="1" t="s">
        <v>32</v>
      </c>
      <c r="Q37" s="1" t="s">
        <v>4</v>
      </c>
      <c r="R37" s="1" t="s">
        <v>5</v>
      </c>
    </row>
    <row r="38" spans="1:18" x14ac:dyDescent="0.25">
      <c r="A38" s="1">
        <v>1</v>
      </c>
      <c r="B38" s="1">
        <v>4</v>
      </c>
      <c r="C38" s="1">
        <v>7</v>
      </c>
      <c r="D38" s="1">
        <v>81</v>
      </c>
      <c r="E38" s="1">
        <v>84780</v>
      </c>
      <c r="F38" s="1">
        <v>17197506560</v>
      </c>
      <c r="G38" s="1">
        <v>0</v>
      </c>
      <c r="H38" s="1">
        <v>6</v>
      </c>
      <c r="I38" s="1">
        <v>0</v>
      </c>
      <c r="J38" s="1">
        <v>400.504839984429</v>
      </c>
      <c r="K38" s="1">
        <v>4243787190</v>
      </c>
      <c r="L38" s="1">
        <v>3281448</v>
      </c>
      <c r="M38" s="1">
        <v>0</v>
      </c>
      <c r="N38" s="1">
        <v>0</v>
      </c>
      <c r="O38" s="1">
        <v>4206039040</v>
      </c>
      <c r="P38" s="1">
        <v>1026865</v>
      </c>
      <c r="Q38" s="1">
        <v>199087</v>
      </c>
      <c r="R38" s="1">
        <v>4308313</v>
      </c>
    </row>
    <row r="39" spans="1:18" x14ac:dyDescent="0.25">
      <c r="A39" s="1">
        <v>2</v>
      </c>
      <c r="B39" s="1">
        <v>4</v>
      </c>
      <c r="C39" s="1">
        <v>7</v>
      </c>
      <c r="D39" s="1">
        <v>86</v>
      </c>
      <c r="E39" s="1">
        <v>85041</v>
      </c>
      <c r="F39" s="1">
        <v>17197506560</v>
      </c>
      <c r="G39" s="1">
        <v>0</v>
      </c>
      <c r="H39" s="1">
        <v>6</v>
      </c>
      <c r="I39" s="1">
        <v>0</v>
      </c>
      <c r="J39" s="1">
        <v>391.80188884446221</v>
      </c>
      <c r="K39" s="1">
        <v>4164347817</v>
      </c>
      <c r="L39" s="1">
        <v>3312651</v>
      </c>
      <c r="M39" s="1">
        <v>0</v>
      </c>
      <c r="N39" s="1">
        <v>0</v>
      </c>
      <c r="O39" s="1">
        <v>4126474240</v>
      </c>
      <c r="P39" s="1">
        <v>1007440</v>
      </c>
      <c r="Q39" s="1">
        <v>233230</v>
      </c>
      <c r="R39" s="1">
        <v>4320091</v>
      </c>
    </row>
    <row r="40" spans="1:18" x14ac:dyDescent="0.25">
      <c r="A40" s="1">
        <v>3</v>
      </c>
      <c r="B40" s="1">
        <v>4</v>
      </c>
      <c r="C40" s="1">
        <v>8</v>
      </c>
      <c r="D40" s="1">
        <v>97</v>
      </c>
      <c r="E40" s="1">
        <v>85400</v>
      </c>
      <c r="F40" s="1">
        <v>17197506560</v>
      </c>
      <c r="G40" s="1">
        <v>0</v>
      </c>
      <c r="H40" s="1">
        <v>6</v>
      </c>
      <c r="I40" s="1">
        <v>0</v>
      </c>
      <c r="J40" s="1">
        <v>413.85132471425902</v>
      </c>
      <c r="K40" s="1">
        <v>4417236630</v>
      </c>
      <c r="L40" s="1">
        <v>3266176</v>
      </c>
      <c r="M40" s="1">
        <v>0</v>
      </c>
      <c r="N40" s="1">
        <v>0</v>
      </c>
      <c r="O40" s="1">
        <v>4379287552</v>
      </c>
      <c r="P40" s="1">
        <v>1069162</v>
      </c>
      <c r="Q40" s="1">
        <v>266496</v>
      </c>
      <c r="R40" s="1">
        <v>4335338</v>
      </c>
    </row>
    <row r="41" spans="1:18" x14ac:dyDescent="0.25">
      <c r="A41" s="1" t="s">
        <v>33</v>
      </c>
      <c r="B41" s="1">
        <f t="shared" ref="B41:R41" si="5">AVERAGE(B38:B40)</f>
        <v>4</v>
      </c>
      <c r="C41" s="1">
        <f t="shared" si="5"/>
        <v>7.333333333333333</v>
      </c>
      <c r="D41" s="1">
        <f t="shared" si="5"/>
        <v>88</v>
      </c>
      <c r="E41" s="1">
        <f t="shared" si="5"/>
        <v>85073.666666666672</v>
      </c>
      <c r="F41" s="1">
        <f t="shared" si="5"/>
        <v>17197506560</v>
      </c>
      <c r="G41" s="1">
        <f t="shared" si="5"/>
        <v>0</v>
      </c>
      <c r="H41" s="1">
        <f t="shared" si="5"/>
        <v>6</v>
      </c>
      <c r="I41" s="1">
        <f t="shared" si="5"/>
        <v>0</v>
      </c>
      <c r="J41" s="1">
        <f t="shared" si="5"/>
        <v>402.05268451438343</v>
      </c>
      <c r="K41" s="1">
        <f t="shared" si="5"/>
        <v>4275123879</v>
      </c>
      <c r="L41" s="1">
        <f t="shared" si="5"/>
        <v>3286758.3333333335</v>
      </c>
      <c r="M41" s="1">
        <f t="shared" si="5"/>
        <v>0</v>
      </c>
      <c r="N41" s="1">
        <f t="shared" si="5"/>
        <v>0</v>
      </c>
      <c r="O41" s="1">
        <f t="shared" si="5"/>
        <v>4237266944</v>
      </c>
      <c r="P41" s="1">
        <f t="shared" si="5"/>
        <v>1034489</v>
      </c>
      <c r="Q41" s="1">
        <f t="shared" si="5"/>
        <v>232937.66666666666</v>
      </c>
      <c r="R41" s="1">
        <f t="shared" si="5"/>
        <v>4321247.333333333</v>
      </c>
    </row>
    <row r="42" spans="1:1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2"/>
  <sheetViews>
    <sheetView workbookViewId="0"/>
  </sheetViews>
  <sheetFormatPr defaultRowHeight="15" x14ac:dyDescent="0.25"/>
  <cols>
    <col min="1" max="1" width="12" customWidth="1"/>
    <col min="2" max="6" width="19" customWidth="1"/>
    <col min="7" max="7" width="23" customWidth="1"/>
    <col min="8" max="8" width="22" customWidth="1"/>
    <col min="9" max="12" width="19" customWidth="1"/>
    <col min="13" max="13" width="22" customWidth="1"/>
    <col min="14" max="16" width="19" customWidth="1"/>
    <col min="17" max="17" width="24" customWidth="1"/>
    <col min="18" max="18" width="30" customWidth="1"/>
  </cols>
  <sheetData>
    <row r="1" spans="1:18" x14ac:dyDescent="0.25">
      <c r="A1" s="1" t="s">
        <v>17</v>
      </c>
      <c r="B1" s="1">
        <v>1024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3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4</v>
      </c>
      <c r="R2" s="1" t="s">
        <v>5</v>
      </c>
    </row>
    <row r="3" spans="1:18" x14ac:dyDescent="0.25">
      <c r="A3" s="1">
        <v>1</v>
      </c>
      <c r="B3" s="1">
        <v>2</v>
      </c>
      <c r="C3" s="1">
        <v>33</v>
      </c>
      <c r="D3" s="1">
        <v>297</v>
      </c>
      <c r="E3" s="1">
        <v>10358</v>
      </c>
      <c r="F3" s="1">
        <v>1091379200</v>
      </c>
      <c r="G3" s="1">
        <v>0</v>
      </c>
      <c r="H3" s="1">
        <v>4</v>
      </c>
      <c r="I3" s="1">
        <v>0</v>
      </c>
      <c r="J3" s="1">
        <v>873.55915777239704</v>
      </c>
      <c r="K3" s="1">
        <v>1127224930</v>
      </c>
      <c r="L3" s="1">
        <v>10957</v>
      </c>
      <c r="M3" s="1">
        <v>0</v>
      </c>
      <c r="N3" s="1">
        <v>0</v>
      </c>
      <c r="O3" s="1">
        <v>1124749312</v>
      </c>
      <c r="P3" s="1">
        <v>274597</v>
      </c>
      <c r="Q3" s="1">
        <v>25673</v>
      </c>
      <c r="R3" s="1">
        <v>286375</v>
      </c>
    </row>
    <row r="4" spans="1:18" x14ac:dyDescent="0.25">
      <c r="A4" s="1">
        <v>2</v>
      </c>
      <c r="B4" s="1">
        <v>2</v>
      </c>
      <c r="C4" s="1">
        <v>33</v>
      </c>
      <c r="D4" s="1">
        <v>559</v>
      </c>
      <c r="E4" s="1">
        <v>10268</v>
      </c>
      <c r="F4" s="1">
        <v>1091379200</v>
      </c>
      <c r="G4" s="1">
        <v>0</v>
      </c>
      <c r="H4" s="1">
        <v>4</v>
      </c>
      <c r="I4" s="1">
        <v>0</v>
      </c>
      <c r="J4" s="1">
        <v>871.15454108451388</v>
      </c>
      <c r="K4" s="1">
        <v>1114320983</v>
      </c>
      <c r="L4" s="1">
        <v>11730</v>
      </c>
      <c r="M4" s="1">
        <v>0</v>
      </c>
      <c r="N4" s="1">
        <v>0</v>
      </c>
      <c r="O4" s="1">
        <v>1111724032</v>
      </c>
      <c r="P4" s="1">
        <v>271417</v>
      </c>
      <c r="Q4" s="1">
        <v>28891</v>
      </c>
      <c r="R4" s="1">
        <v>284359</v>
      </c>
    </row>
    <row r="5" spans="1:18" x14ac:dyDescent="0.25">
      <c r="A5" s="1">
        <v>3</v>
      </c>
      <c r="B5" s="1">
        <v>2</v>
      </c>
      <c r="C5" s="1">
        <v>33</v>
      </c>
      <c r="D5" s="1">
        <v>261</v>
      </c>
      <c r="E5" s="1">
        <v>10219</v>
      </c>
      <c r="F5" s="1">
        <v>1091379200</v>
      </c>
      <c r="G5" s="1">
        <v>0</v>
      </c>
      <c r="H5" s="1">
        <v>4</v>
      </c>
      <c r="I5" s="1">
        <v>0</v>
      </c>
      <c r="J5" s="1">
        <v>866.94783192617319</v>
      </c>
      <c r="K5" s="1">
        <v>1103628969</v>
      </c>
      <c r="L5" s="1">
        <v>10834</v>
      </c>
      <c r="M5" s="1">
        <v>0</v>
      </c>
      <c r="N5" s="1">
        <v>0</v>
      </c>
      <c r="O5" s="1">
        <v>1101127680</v>
      </c>
      <c r="P5" s="1">
        <v>268830</v>
      </c>
      <c r="Q5" s="1">
        <v>18587</v>
      </c>
      <c r="R5" s="1">
        <v>280581</v>
      </c>
    </row>
    <row r="6" spans="1:18" x14ac:dyDescent="0.25">
      <c r="A6" s="1" t="s">
        <v>33</v>
      </c>
      <c r="B6" s="1">
        <f t="shared" ref="B6:R6" si="0">AVERAGE(B3:B5)</f>
        <v>2</v>
      </c>
      <c r="C6" s="1">
        <f t="shared" si="0"/>
        <v>33</v>
      </c>
      <c r="D6" s="1">
        <f t="shared" si="0"/>
        <v>372.33333333333331</v>
      </c>
      <c r="E6" s="1">
        <f t="shared" si="0"/>
        <v>10281.666666666666</v>
      </c>
      <c r="F6" s="1">
        <f t="shared" si="0"/>
        <v>1091379200</v>
      </c>
      <c r="G6" s="1">
        <f t="shared" si="0"/>
        <v>0</v>
      </c>
      <c r="H6" s="1">
        <f t="shared" si="0"/>
        <v>4</v>
      </c>
      <c r="I6" s="1">
        <f t="shared" si="0"/>
        <v>0</v>
      </c>
      <c r="J6" s="1">
        <f t="shared" si="0"/>
        <v>870.55384359436141</v>
      </c>
      <c r="K6" s="1">
        <f t="shared" si="0"/>
        <v>1115058294</v>
      </c>
      <c r="L6" s="1">
        <f t="shared" si="0"/>
        <v>11173.666666666666</v>
      </c>
      <c r="M6" s="1">
        <f t="shared" si="0"/>
        <v>0</v>
      </c>
      <c r="N6" s="1">
        <f t="shared" si="0"/>
        <v>0</v>
      </c>
      <c r="O6" s="1">
        <f t="shared" si="0"/>
        <v>1112533674.6666667</v>
      </c>
      <c r="P6" s="1">
        <f t="shared" si="0"/>
        <v>271614.66666666669</v>
      </c>
      <c r="Q6" s="1">
        <f t="shared" si="0"/>
        <v>24383.666666666668</v>
      </c>
      <c r="R6" s="1">
        <f t="shared" si="0"/>
        <v>283771.66666666669</v>
      </c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 t="s">
        <v>17</v>
      </c>
      <c r="B8" s="1">
        <v>2048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3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28</v>
      </c>
      <c r="M9" s="1" t="s">
        <v>29</v>
      </c>
      <c r="N9" s="1" t="s">
        <v>30</v>
      </c>
      <c r="O9" s="1" t="s">
        <v>31</v>
      </c>
      <c r="P9" s="1" t="s">
        <v>32</v>
      </c>
      <c r="Q9" s="1" t="s">
        <v>4</v>
      </c>
      <c r="R9" s="1" t="s">
        <v>5</v>
      </c>
    </row>
    <row r="10" spans="1:18" x14ac:dyDescent="0.25">
      <c r="A10" s="1">
        <v>1</v>
      </c>
      <c r="B10" s="1">
        <v>3</v>
      </c>
      <c r="C10" s="1">
        <v>35</v>
      </c>
      <c r="D10" s="1">
        <v>36</v>
      </c>
      <c r="E10" s="1">
        <v>20182</v>
      </c>
      <c r="F10" s="1">
        <v>2165121024</v>
      </c>
      <c r="G10" s="1">
        <v>0</v>
      </c>
      <c r="H10" s="1">
        <v>5</v>
      </c>
      <c r="I10" s="1">
        <v>0</v>
      </c>
      <c r="J10" s="1">
        <v>892.89372392912094</v>
      </c>
      <c r="K10" s="1">
        <v>2248428848</v>
      </c>
      <c r="L10" s="1">
        <v>11694</v>
      </c>
      <c r="M10" s="1">
        <v>0</v>
      </c>
      <c r="N10" s="1">
        <v>0</v>
      </c>
      <c r="O10" s="1">
        <v>2243203072</v>
      </c>
      <c r="P10" s="1">
        <v>547657</v>
      </c>
      <c r="Q10" s="1">
        <v>49861</v>
      </c>
      <c r="R10" s="1">
        <v>562159</v>
      </c>
    </row>
    <row r="11" spans="1:18" x14ac:dyDescent="0.25">
      <c r="A11" s="1">
        <v>2</v>
      </c>
      <c r="B11" s="1">
        <v>3</v>
      </c>
      <c r="C11" s="1">
        <v>34</v>
      </c>
      <c r="D11" s="1">
        <v>44</v>
      </c>
      <c r="E11" s="1">
        <v>20165</v>
      </c>
      <c r="F11" s="1">
        <v>2165121024</v>
      </c>
      <c r="G11" s="1">
        <v>0</v>
      </c>
      <c r="H11" s="1">
        <v>5</v>
      </c>
      <c r="I11" s="1">
        <v>0</v>
      </c>
      <c r="J11" s="1">
        <v>896.68083572599483</v>
      </c>
      <c r="K11" s="1">
        <v>2256172854</v>
      </c>
      <c r="L11" s="1">
        <v>11652</v>
      </c>
      <c r="M11" s="1">
        <v>0</v>
      </c>
      <c r="N11" s="1">
        <v>0</v>
      </c>
      <c r="O11" s="1">
        <v>2250682368</v>
      </c>
      <c r="P11" s="1">
        <v>549483</v>
      </c>
      <c r="Q11" s="1">
        <v>57924</v>
      </c>
      <c r="R11" s="1">
        <v>564860</v>
      </c>
    </row>
    <row r="12" spans="1:18" x14ac:dyDescent="0.25">
      <c r="A12" s="1">
        <v>3</v>
      </c>
      <c r="B12" s="1">
        <v>3</v>
      </c>
      <c r="C12" s="1">
        <v>34</v>
      </c>
      <c r="D12" s="1">
        <v>35</v>
      </c>
      <c r="E12" s="1">
        <v>20169</v>
      </c>
      <c r="F12" s="1">
        <v>2165121024</v>
      </c>
      <c r="G12" s="1">
        <v>0</v>
      </c>
      <c r="H12" s="1">
        <v>5</v>
      </c>
      <c r="I12" s="1">
        <v>0</v>
      </c>
      <c r="J12" s="1">
        <v>906.63933965731314</v>
      </c>
      <c r="K12" s="1">
        <v>2281685504</v>
      </c>
      <c r="L12" s="1">
        <v>11036</v>
      </c>
      <c r="M12" s="1">
        <v>0</v>
      </c>
      <c r="N12" s="1">
        <v>0</v>
      </c>
      <c r="O12" s="1">
        <v>2276495360</v>
      </c>
      <c r="P12" s="1">
        <v>555785</v>
      </c>
      <c r="Q12" s="1">
        <v>43888</v>
      </c>
      <c r="R12" s="1">
        <v>569238</v>
      </c>
    </row>
    <row r="13" spans="1:18" x14ac:dyDescent="0.25">
      <c r="A13" s="1" t="s">
        <v>33</v>
      </c>
      <c r="B13" s="1">
        <f t="shared" ref="B13:R13" si="1">AVERAGE(B10:B12)</f>
        <v>3</v>
      </c>
      <c r="C13" s="1">
        <f t="shared" si="1"/>
        <v>34.333333333333336</v>
      </c>
      <c r="D13" s="1">
        <f t="shared" si="1"/>
        <v>38.333333333333336</v>
      </c>
      <c r="E13" s="1">
        <f t="shared" si="1"/>
        <v>20172</v>
      </c>
      <c r="F13" s="1">
        <f t="shared" si="1"/>
        <v>2165121024</v>
      </c>
      <c r="G13" s="1">
        <f t="shared" si="1"/>
        <v>0</v>
      </c>
      <c r="H13" s="1">
        <f t="shared" si="1"/>
        <v>5</v>
      </c>
      <c r="I13" s="1">
        <f t="shared" si="1"/>
        <v>0</v>
      </c>
      <c r="J13" s="1">
        <f t="shared" si="1"/>
        <v>898.7379664374763</v>
      </c>
      <c r="K13" s="1">
        <f t="shared" si="1"/>
        <v>2262095735.3333335</v>
      </c>
      <c r="L13" s="1">
        <f t="shared" si="1"/>
        <v>11460.666666666666</v>
      </c>
      <c r="M13" s="1">
        <f t="shared" si="1"/>
        <v>0</v>
      </c>
      <c r="N13" s="1">
        <f t="shared" si="1"/>
        <v>0</v>
      </c>
      <c r="O13" s="1">
        <f t="shared" si="1"/>
        <v>2256793600</v>
      </c>
      <c r="P13" s="1">
        <f t="shared" si="1"/>
        <v>550975</v>
      </c>
      <c r="Q13" s="1">
        <f t="shared" si="1"/>
        <v>50557.666666666664</v>
      </c>
      <c r="R13" s="1">
        <f t="shared" si="1"/>
        <v>565419</v>
      </c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 t="s">
        <v>17</v>
      </c>
      <c r="B15" s="1">
        <v>4096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3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26</v>
      </c>
      <c r="K16" s="1" t="s">
        <v>27</v>
      </c>
      <c r="L16" s="1" t="s">
        <v>28</v>
      </c>
      <c r="M16" s="1" t="s">
        <v>29</v>
      </c>
      <c r="N16" s="1" t="s">
        <v>30</v>
      </c>
      <c r="O16" s="1" t="s">
        <v>31</v>
      </c>
      <c r="P16" s="1" t="s">
        <v>32</v>
      </c>
      <c r="Q16" s="1" t="s">
        <v>4</v>
      </c>
      <c r="R16" s="1" t="s">
        <v>5</v>
      </c>
    </row>
    <row r="17" spans="1:18" x14ac:dyDescent="0.25">
      <c r="A17" s="1">
        <v>1</v>
      </c>
      <c r="B17" s="1">
        <v>4</v>
      </c>
      <c r="C17" s="1">
        <v>35</v>
      </c>
      <c r="D17" s="1">
        <v>61</v>
      </c>
      <c r="E17" s="1">
        <v>35940</v>
      </c>
      <c r="F17" s="1">
        <v>4312604672</v>
      </c>
      <c r="G17" s="1">
        <v>0</v>
      </c>
      <c r="H17" s="1">
        <v>6</v>
      </c>
      <c r="I17" s="1">
        <v>0</v>
      </c>
      <c r="J17" s="1">
        <v>830.28325302882604</v>
      </c>
      <c r="K17" s="1">
        <v>3726202615</v>
      </c>
      <c r="L17" s="1">
        <v>234617</v>
      </c>
      <c r="M17" s="1">
        <v>0</v>
      </c>
      <c r="N17" s="1">
        <v>0</v>
      </c>
      <c r="O17" s="1">
        <v>3713572864</v>
      </c>
      <c r="P17" s="1">
        <v>906634</v>
      </c>
      <c r="Q17" s="1">
        <v>71461</v>
      </c>
      <c r="R17" s="1">
        <v>1147657</v>
      </c>
    </row>
    <row r="18" spans="1:18" x14ac:dyDescent="0.25">
      <c r="A18" s="1">
        <v>2</v>
      </c>
      <c r="B18" s="1">
        <v>4</v>
      </c>
      <c r="C18" s="1">
        <v>35</v>
      </c>
      <c r="D18" s="1">
        <v>33</v>
      </c>
      <c r="E18" s="1">
        <v>35895</v>
      </c>
      <c r="F18" s="1">
        <v>4312604672</v>
      </c>
      <c r="G18" s="1">
        <v>0</v>
      </c>
      <c r="H18" s="1">
        <v>6</v>
      </c>
      <c r="I18" s="1">
        <v>0</v>
      </c>
      <c r="J18" s="1">
        <v>838.14693853876179</v>
      </c>
      <c r="K18" s="1">
        <v>3756781242</v>
      </c>
      <c r="L18" s="1">
        <v>226341</v>
      </c>
      <c r="M18" s="1">
        <v>0</v>
      </c>
      <c r="N18" s="1">
        <v>0</v>
      </c>
      <c r="O18" s="1">
        <v>3744710656</v>
      </c>
      <c r="P18" s="1">
        <v>914236</v>
      </c>
      <c r="Q18" s="1">
        <v>62975</v>
      </c>
      <c r="R18" s="1">
        <v>1148017</v>
      </c>
    </row>
    <row r="19" spans="1:18" x14ac:dyDescent="0.25">
      <c r="A19" s="1">
        <v>3</v>
      </c>
      <c r="B19" s="1">
        <v>4</v>
      </c>
      <c r="C19" s="1">
        <v>36</v>
      </c>
      <c r="D19" s="1">
        <v>96</v>
      </c>
      <c r="E19" s="1">
        <v>36273</v>
      </c>
      <c r="F19" s="1">
        <v>4312604672</v>
      </c>
      <c r="G19" s="1">
        <v>0</v>
      </c>
      <c r="H19" s="1">
        <v>6</v>
      </c>
      <c r="I19" s="1">
        <v>0</v>
      </c>
      <c r="J19" s="1">
        <v>792.39696707784867</v>
      </c>
      <c r="K19" s="1">
        <v>3589048702</v>
      </c>
      <c r="L19" s="1">
        <v>252654</v>
      </c>
      <c r="M19" s="1">
        <v>0</v>
      </c>
      <c r="N19" s="1">
        <v>0</v>
      </c>
      <c r="O19" s="1">
        <v>3576487936</v>
      </c>
      <c r="P19" s="1">
        <v>873166</v>
      </c>
      <c r="Q19" s="1">
        <v>152141</v>
      </c>
      <c r="R19" s="1">
        <v>1133971</v>
      </c>
    </row>
    <row r="20" spans="1:18" x14ac:dyDescent="0.25">
      <c r="A20" s="1" t="s">
        <v>33</v>
      </c>
      <c r="B20" s="1">
        <f t="shared" ref="B20:R20" si="2">AVERAGE(B17:B19)</f>
        <v>4</v>
      </c>
      <c r="C20" s="1">
        <f t="shared" si="2"/>
        <v>35.333333333333336</v>
      </c>
      <c r="D20" s="1">
        <f t="shared" si="2"/>
        <v>63.333333333333336</v>
      </c>
      <c r="E20" s="1">
        <f t="shared" si="2"/>
        <v>36036</v>
      </c>
      <c r="F20" s="1">
        <f t="shared" si="2"/>
        <v>4312604672</v>
      </c>
      <c r="G20" s="1">
        <f t="shared" si="2"/>
        <v>0</v>
      </c>
      <c r="H20" s="1">
        <f t="shared" si="2"/>
        <v>6</v>
      </c>
      <c r="I20" s="1">
        <f t="shared" si="2"/>
        <v>0</v>
      </c>
      <c r="J20" s="1">
        <f t="shared" si="2"/>
        <v>820.27571954847883</v>
      </c>
      <c r="K20" s="1">
        <f t="shared" si="2"/>
        <v>3690677519.6666665</v>
      </c>
      <c r="L20" s="1">
        <f t="shared" si="2"/>
        <v>237870.66666666666</v>
      </c>
      <c r="M20" s="1">
        <f t="shared" si="2"/>
        <v>0</v>
      </c>
      <c r="N20" s="1">
        <f t="shared" si="2"/>
        <v>0</v>
      </c>
      <c r="O20" s="1">
        <f t="shared" si="2"/>
        <v>3678257152</v>
      </c>
      <c r="P20" s="1">
        <f t="shared" si="2"/>
        <v>898012</v>
      </c>
      <c r="Q20" s="1">
        <f t="shared" si="2"/>
        <v>95525.666666666672</v>
      </c>
      <c r="R20" s="1">
        <f t="shared" si="2"/>
        <v>1143215</v>
      </c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17</v>
      </c>
      <c r="B22" s="1">
        <v>8192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 s="1" t="s">
        <v>21</v>
      </c>
      <c r="E23" s="1" t="s">
        <v>3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  <c r="N23" s="1" t="s">
        <v>30</v>
      </c>
      <c r="O23" s="1" t="s">
        <v>31</v>
      </c>
      <c r="P23" s="1" t="s">
        <v>32</v>
      </c>
      <c r="Q23" s="1" t="s">
        <v>4</v>
      </c>
      <c r="R23" s="1" t="s">
        <v>5</v>
      </c>
    </row>
    <row r="24" spans="1:18" x14ac:dyDescent="0.25">
      <c r="A24" s="1">
        <v>1</v>
      </c>
      <c r="B24" s="1">
        <v>4</v>
      </c>
      <c r="C24" s="1">
        <v>37</v>
      </c>
      <c r="D24" s="1">
        <v>92</v>
      </c>
      <c r="E24" s="1">
        <v>52766</v>
      </c>
      <c r="F24" s="1">
        <v>8607571968</v>
      </c>
      <c r="G24" s="1">
        <v>0</v>
      </c>
      <c r="H24" s="1">
        <v>6</v>
      </c>
      <c r="I24" s="1">
        <v>0</v>
      </c>
      <c r="J24" s="1">
        <v>582.61124754878711</v>
      </c>
      <c r="K24" s="1">
        <v>3839851149</v>
      </c>
      <c r="L24" s="1">
        <v>1269311</v>
      </c>
      <c r="M24" s="1">
        <v>0</v>
      </c>
      <c r="N24" s="1">
        <v>0</v>
      </c>
      <c r="O24" s="1">
        <v>3818831872</v>
      </c>
      <c r="P24" s="1">
        <v>932332</v>
      </c>
      <c r="Q24" s="1">
        <v>150095</v>
      </c>
      <c r="R24" s="1">
        <v>2210242</v>
      </c>
    </row>
    <row r="25" spans="1:18" x14ac:dyDescent="0.25">
      <c r="A25" s="1">
        <v>2</v>
      </c>
      <c r="B25" s="1">
        <v>4</v>
      </c>
      <c r="C25" s="1">
        <v>36</v>
      </c>
      <c r="D25" s="1">
        <v>47</v>
      </c>
      <c r="E25" s="1">
        <v>52581</v>
      </c>
      <c r="F25" s="1">
        <v>8607571968</v>
      </c>
      <c r="G25" s="1">
        <v>0</v>
      </c>
      <c r="H25" s="1">
        <v>6</v>
      </c>
      <c r="I25" s="1">
        <v>0</v>
      </c>
      <c r="J25" s="1">
        <v>600.74236559139786</v>
      </c>
      <c r="K25" s="1">
        <v>3945538540</v>
      </c>
      <c r="L25" s="1">
        <v>1243265</v>
      </c>
      <c r="M25" s="1">
        <v>0</v>
      </c>
      <c r="N25" s="1">
        <v>0</v>
      </c>
      <c r="O25" s="1">
        <v>3924107264</v>
      </c>
      <c r="P25" s="1">
        <v>958034</v>
      </c>
      <c r="Q25" s="1">
        <v>140853</v>
      </c>
      <c r="R25" s="1">
        <v>2209638</v>
      </c>
    </row>
    <row r="26" spans="1:18" x14ac:dyDescent="0.25">
      <c r="A26" s="1">
        <v>3</v>
      </c>
      <c r="B26" s="1">
        <v>4</v>
      </c>
      <c r="C26" s="1">
        <v>39</v>
      </c>
      <c r="D26" s="1">
        <v>56</v>
      </c>
      <c r="E26" s="1">
        <v>52739</v>
      </c>
      <c r="F26" s="1">
        <v>8607571968</v>
      </c>
      <c r="G26" s="1">
        <v>0</v>
      </c>
      <c r="H26" s="1">
        <v>6</v>
      </c>
      <c r="I26" s="1">
        <v>0</v>
      </c>
      <c r="J26" s="1">
        <v>572.53139400379507</v>
      </c>
      <c r="K26" s="1">
        <v>3771338148</v>
      </c>
      <c r="L26" s="1">
        <v>1266266</v>
      </c>
      <c r="M26" s="1">
        <v>0</v>
      </c>
      <c r="N26" s="1">
        <v>0</v>
      </c>
      <c r="O26" s="1">
        <v>3750215680</v>
      </c>
      <c r="P26" s="1">
        <v>915580</v>
      </c>
      <c r="Q26" s="1">
        <v>213646</v>
      </c>
      <c r="R26" s="1">
        <v>2189365</v>
      </c>
    </row>
    <row r="27" spans="1:18" x14ac:dyDescent="0.25">
      <c r="A27" s="1" t="s">
        <v>33</v>
      </c>
      <c r="B27" s="1">
        <f t="shared" ref="B27:R27" si="3">AVERAGE(B24:B26)</f>
        <v>4</v>
      </c>
      <c r="C27" s="1">
        <f t="shared" si="3"/>
        <v>37.333333333333336</v>
      </c>
      <c r="D27" s="1">
        <f t="shared" si="3"/>
        <v>65</v>
      </c>
      <c r="E27" s="1">
        <f t="shared" si="3"/>
        <v>52695.333333333336</v>
      </c>
      <c r="F27" s="1">
        <f t="shared" si="3"/>
        <v>8607571968</v>
      </c>
      <c r="G27" s="1">
        <f t="shared" si="3"/>
        <v>0</v>
      </c>
      <c r="H27" s="1">
        <f t="shared" si="3"/>
        <v>6</v>
      </c>
      <c r="I27" s="1">
        <f t="shared" si="3"/>
        <v>0</v>
      </c>
      <c r="J27" s="1">
        <f t="shared" si="3"/>
        <v>585.29500238132675</v>
      </c>
      <c r="K27" s="1">
        <f t="shared" si="3"/>
        <v>3852242612.3333335</v>
      </c>
      <c r="L27" s="1">
        <f t="shared" si="3"/>
        <v>1259614</v>
      </c>
      <c r="M27" s="1">
        <f t="shared" si="3"/>
        <v>0</v>
      </c>
      <c r="N27" s="1">
        <f t="shared" si="3"/>
        <v>0</v>
      </c>
      <c r="O27" s="1">
        <f t="shared" si="3"/>
        <v>3831051605.3333335</v>
      </c>
      <c r="P27" s="1">
        <f t="shared" si="3"/>
        <v>935315.33333333337</v>
      </c>
      <c r="Q27" s="1">
        <f t="shared" si="3"/>
        <v>168198</v>
      </c>
      <c r="R27" s="1">
        <f t="shared" si="3"/>
        <v>2203081.6666666665</v>
      </c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 t="s">
        <v>17</v>
      </c>
      <c r="B29" s="1">
        <v>12288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 s="1" t="s">
        <v>21</v>
      </c>
      <c r="E30" s="1" t="s">
        <v>3</v>
      </c>
      <c r="F30" s="1" t="s">
        <v>22</v>
      </c>
      <c r="G30" s="1" t="s">
        <v>23</v>
      </c>
      <c r="H30" s="1" t="s">
        <v>24</v>
      </c>
      <c r="I30" s="1" t="s">
        <v>25</v>
      </c>
      <c r="J30" s="1" t="s">
        <v>26</v>
      </c>
      <c r="K30" s="1" t="s">
        <v>27</v>
      </c>
      <c r="L30" s="1" t="s">
        <v>28</v>
      </c>
      <c r="M30" s="1" t="s">
        <v>29</v>
      </c>
      <c r="N30" s="1" t="s">
        <v>30</v>
      </c>
      <c r="O30" s="1" t="s">
        <v>31</v>
      </c>
      <c r="P30" s="1" t="s">
        <v>32</v>
      </c>
      <c r="Q30" s="1" t="s">
        <v>4</v>
      </c>
      <c r="R30" s="1" t="s">
        <v>5</v>
      </c>
    </row>
    <row r="31" spans="1:18" x14ac:dyDescent="0.25">
      <c r="A31" s="1">
        <v>1</v>
      </c>
      <c r="B31" s="1">
        <v>5</v>
      </c>
      <c r="C31" s="1">
        <v>38</v>
      </c>
      <c r="D31" s="1">
        <v>93</v>
      </c>
      <c r="E31" s="1">
        <v>69355</v>
      </c>
      <c r="F31" s="1">
        <v>12902539264</v>
      </c>
      <c r="G31" s="1">
        <v>0</v>
      </c>
      <c r="H31" s="1">
        <v>7</v>
      </c>
      <c r="I31" s="1">
        <v>0</v>
      </c>
      <c r="J31" s="1">
        <v>477.8037621939784</v>
      </c>
      <c r="K31" s="1">
        <v>4139777987</v>
      </c>
      <c r="L31" s="1">
        <v>2269119</v>
      </c>
      <c r="M31" s="1">
        <v>0</v>
      </c>
      <c r="N31" s="1">
        <v>0</v>
      </c>
      <c r="O31" s="1">
        <v>4108132352</v>
      </c>
      <c r="P31" s="1">
        <v>1002962</v>
      </c>
      <c r="Q31" s="1">
        <v>239885</v>
      </c>
      <c r="R31" s="1">
        <v>3282671</v>
      </c>
    </row>
    <row r="32" spans="1:18" x14ac:dyDescent="0.25">
      <c r="A32" s="1">
        <v>2</v>
      </c>
      <c r="B32" s="1">
        <v>4</v>
      </c>
      <c r="C32" s="1">
        <v>39</v>
      </c>
      <c r="D32" s="1">
        <v>67</v>
      </c>
      <c r="E32" s="1">
        <v>69394</v>
      </c>
      <c r="F32" s="1">
        <v>12902539264</v>
      </c>
      <c r="G32" s="1">
        <v>0</v>
      </c>
      <c r="H32" s="1">
        <v>6</v>
      </c>
      <c r="I32" s="1">
        <v>0</v>
      </c>
      <c r="J32" s="1">
        <v>477.30930303510922</v>
      </c>
      <c r="K32" s="1">
        <v>4137760929</v>
      </c>
      <c r="L32" s="1">
        <v>2268225</v>
      </c>
      <c r="M32" s="1">
        <v>0</v>
      </c>
      <c r="N32" s="1">
        <v>0</v>
      </c>
      <c r="O32" s="1">
        <v>4106645504</v>
      </c>
      <c r="P32" s="1">
        <v>1002599</v>
      </c>
      <c r="Q32" s="1">
        <v>209211</v>
      </c>
      <c r="R32" s="1">
        <v>3280296</v>
      </c>
    </row>
    <row r="33" spans="1:18" x14ac:dyDescent="0.25">
      <c r="A33" s="1">
        <v>3</v>
      </c>
      <c r="B33" s="1">
        <v>5</v>
      </c>
      <c r="C33" s="1">
        <v>39</v>
      </c>
      <c r="D33" s="1">
        <v>93</v>
      </c>
      <c r="E33" s="1">
        <v>69451</v>
      </c>
      <c r="F33" s="1">
        <v>12902539264</v>
      </c>
      <c r="G33" s="1">
        <v>0</v>
      </c>
      <c r="H33" s="1">
        <v>7</v>
      </c>
      <c r="I33" s="1">
        <v>0</v>
      </c>
      <c r="J33" s="1">
        <v>479.39180280066847</v>
      </c>
      <c r="K33" s="1">
        <v>4159230541</v>
      </c>
      <c r="L33" s="1">
        <v>2265365</v>
      </c>
      <c r="M33" s="1">
        <v>0</v>
      </c>
      <c r="N33" s="1">
        <v>0</v>
      </c>
      <c r="O33" s="1">
        <v>4127105024</v>
      </c>
      <c r="P33" s="1">
        <v>1007594</v>
      </c>
      <c r="Q33" s="1">
        <v>147260</v>
      </c>
      <c r="R33" s="1">
        <v>3283314</v>
      </c>
    </row>
    <row r="34" spans="1:18" x14ac:dyDescent="0.25">
      <c r="A34" s="1" t="s">
        <v>33</v>
      </c>
      <c r="B34" s="1">
        <f t="shared" ref="B34:R34" si="4">AVERAGE(B31:B33)</f>
        <v>4.666666666666667</v>
      </c>
      <c r="C34" s="1">
        <f t="shared" si="4"/>
        <v>38.666666666666664</v>
      </c>
      <c r="D34" s="1">
        <f t="shared" si="4"/>
        <v>84.333333333333329</v>
      </c>
      <c r="E34" s="1">
        <f t="shared" si="4"/>
        <v>69400</v>
      </c>
      <c r="F34" s="1">
        <f t="shared" si="4"/>
        <v>12902539264</v>
      </c>
      <c r="G34" s="1">
        <f t="shared" si="4"/>
        <v>0</v>
      </c>
      <c r="H34" s="1">
        <f t="shared" si="4"/>
        <v>6.666666666666667</v>
      </c>
      <c r="I34" s="1">
        <f t="shared" si="4"/>
        <v>0</v>
      </c>
      <c r="J34" s="1">
        <f t="shared" si="4"/>
        <v>478.16828934325207</v>
      </c>
      <c r="K34" s="1">
        <f t="shared" si="4"/>
        <v>4145589819</v>
      </c>
      <c r="L34" s="1">
        <f t="shared" si="4"/>
        <v>2267569.6666666665</v>
      </c>
      <c r="M34" s="1">
        <f t="shared" si="4"/>
        <v>0</v>
      </c>
      <c r="N34" s="1">
        <f t="shared" si="4"/>
        <v>0</v>
      </c>
      <c r="O34" s="1">
        <f t="shared" si="4"/>
        <v>4113960960</v>
      </c>
      <c r="P34" s="1">
        <f t="shared" si="4"/>
        <v>1004385</v>
      </c>
      <c r="Q34" s="1">
        <f t="shared" si="4"/>
        <v>198785.33333333334</v>
      </c>
      <c r="R34" s="1">
        <f t="shared" si="4"/>
        <v>3282093.6666666665</v>
      </c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 t="s">
        <v>17</v>
      </c>
      <c r="B36" s="1">
        <v>16384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 s="1" t="s">
        <v>21</v>
      </c>
      <c r="E37" s="1" t="s">
        <v>3</v>
      </c>
      <c r="F37" s="1" t="s">
        <v>22</v>
      </c>
      <c r="G37" s="1" t="s">
        <v>23</v>
      </c>
      <c r="H37" s="1" t="s">
        <v>24</v>
      </c>
      <c r="I37" s="1" t="s">
        <v>25</v>
      </c>
      <c r="J37" s="1" t="s">
        <v>26</v>
      </c>
      <c r="K37" s="1" t="s">
        <v>27</v>
      </c>
      <c r="L37" s="1" t="s">
        <v>28</v>
      </c>
      <c r="M37" s="1" t="s">
        <v>29</v>
      </c>
      <c r="N37" s="1" t="s">
        <v>30</v>
      </c>
      <c r="O37" s="1" t="s">
        <v>31</v>
      </c>
      <c r="P37" s="1" t="s">
        <v>32</v>
      </c>
      <c r="Q37" s="1" t="s">
        <v>4</v>
      </c>
      <c r="R37" s="1" t="s">
        <v>5</v>
      </c>
    </row>
    <row r="38" spans="1:18" x14ac:dyDescent="0.25">
      <c r="A38" s="1">
        <v>1</v>
      </c>
      <c r="B38" s="1">
        <v>13</v>
      </c>
      <c r="C38" s="1">
        <v>42</v>
      </c>
      <c r="D38" s="1">
        <v>106</v>
      </c>
      <c r="E38" s="1">
        <v>86789</v>
      </c>
      <c r="F38" s="1">
        <v>17197506560</v>
      </c>
      <c r="G38" s="1">
        <v>0</v>
      </c>
      <c r="H38" s="1">
        <v>15</v>
      </c>
      <c r="I38" s="1">
        <v>0</v>
      </c>
      <c r="J38" s="1">
        <v>409.86537918314178</v>
      </c>
      <c r="K38" s="1">
        <v>4444111362</v>
      </c>
      <c r="L38" s="1">
        <v>3282491</v>
      </c>
      <c r="M38" s="1">
        <v>0</v>
      </c>
      <c r="N38" s="1">
        <v>0</v>
      </c>
      <c r="O38" s="1">
        <v>4391063552</v>
      </c>
      <c r="P38" s="1">
        <v>1072037</v>
      </c>
      <c r="Q38" s="1">
        <v>214453</v>
      </c>
      <c r="R38" s="1">
        <v>4376484</v>
      </c>
    </row>
    <row r="39" spans="1:18" x14ac:dyDescent="0.25">
      <c r="A39" s="1">
        <v>2</v>
      </c>
      <c r="B39" s="1">
        <v>7</v>
      </c>
      <c r="C39" s="1">
        <v>41</v>
      </c>
      <c r="D39" s="1">
        <v>164</v>
      </c>
      <c r="E39" s="1">
        <v>87108</v>
      </c>
      <c r="F39" s="1">
        <v>17197506560</v>
      </c>
      <c r="G39" s="1">
        <v>0</v>
      </c>
      <c r="H39" s="1">
        <v>9</v>
      </c>
      <c r="I39" s="1">
        <v>0</v>
      </c>
      <c r="J39" s="1">
        <v>409.759129222323</v>
      </c>
      <c r="K39" s="1">
        <v>4459349775</v>
      </c>
      <c r="L39" s="1">
        <v>3262756</v>
      </c>
      <c r="M39" s="1">
        <v>0</v>
      </c>
      <c r="N39" s="1">
        <v>0</v>
      </c>
      <c r="O39" s="1">
        <v>4414222336</v>
      </c>
      <c r="P39" s="1">
        <v>1077691</v>
      </c>
      <c r="Q39" s="1">
        <v>201434</v>
      </c>
      <c r="R39" s="1">
        <v>4353368</v>
      </c>
    </row>
    <row r="40" spans="1:18" x14ac:dyDescent="0.25">
      <c r="A40" s="1">
        <v>3</v>
      </c>
      <c r="B40" s="1">
        <v>7</v>
      </c>
      <c r="C40" s="1">
        <v>41</v>
      </c>
      <c r="D40" s="1">
        <v>113</v>
      </c>
      <c r="E40" s="1">
        <v>86805</v>
      </c>
      <c r="F40" s="1">
        <v>17197506560</v>
      </c>
      <c r="G40" s="1">
        <v>0</v>
      </c>
      <c r="H40" s="1">
        <v>9</v>
      </c>
      <c r="I40" s="1">
        <v>0</v>
      </c>
      <c r="J40" s="1">
        <v>413.99590161818259</v>
      </c>
      <c r="K40" s="1">
        <v>4489780063</v>
      </c>
      <c r="L40" s="1">
        <v>3263849</v>
      </c>
      <c r="M40" s="1">
        <v>0</v>
      </c>
      <c r="N40" s="1">
        <v>0</v>
      </c>
      <c r="O40" s="1">
        <v>4444684288</v>
      </c>
      <c r="P40" s="1">
        <v>1085128</v>
      </c>
      <c r="Q40" s="1">
        <v>264233</v>
      </c>
      <c r="R40" s="1">
        <v>4363583</v>
      </c>
    </row>
    <row r="41" spans="1:18" x14ac:dyDescent="0.25">
      <c r="A41" s="1" t="s">
        <v>33</v>
      </c>
      <c r="B41" s="1">
        <f t="shared" ref="B41:R41" si="5">AVERAGE(B38:B40)</f>
        <v>9</v>
      </c>
      <c r="C41" s="1">
        <f t="shared" si="5"/>
        <v>41.333333333333336</v>
      </c>
      <c r="D41" s="1">
        <f t="shared" si="5"/>
        <v>127.66666666666667</v>
      </c>
      <c r="E41" s="1">
        <f t="shared" si="5"/>
        <v>86900.666666666672</v>
      </c>
      <c r="F41" s="1">
        <f t="shared" si="5"/>
        <v>17197506560</v>
      </c>
      <c r="G41" s="1">
        <f t="shared" si="5"/>
        <v>0</v>
      </c>
      <c r="H41" s="1">
        <f t="shared" si="5"/>
        <v>11</v>
      </c>
      <c r="I41" s="1">
        <f t="shared" si="5"/>
        <v>0</v>
      </c>
      <c r="J41" s="1">
        <f t="shared" si="5"/>
        <v>411.20680334121579</v>
      </c>
      <c r="K41" s="1">
        <f t="shared" si="5"/>
        <v>4464413733.333333</v>
      </c>
      <c r="L41" s="1">
        <f t="shared" si="5"/>
        <v>3269698.6666666665</v>
      </c>
      <c r="M41" s="1">
        <f t="shared" si="5"/>
        <v>0</v>
      </c>
      <c r="N41" s="1">
        <f t="shared" si="5"/>
        <v>0</v>
      </c>
      <c r="O41" s="1">
        <f t="shared" si="5"/>
        <v>4416656725.333333</v>
      </c>
      <c r="P41" s="1">
        <f t="shared" si="5"/>
        <v>1078285.3333333333</v>
      </c>
      <c r="Q41" s="1">
        <f t="shared" si="5"/>
        <v>226706.66666666666</v>
      </c>
      <c r="R41" s="1">
        <f t="shared" si="5"/>
        <v>4364478.333333333</v>
      </c>
    </row>
    <row r="42" spans="1:1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2"/>
  <sheetViews>
    <sheetView workbookViewId="0"/>
  </sheetViews>
  <sheetFormatPr defaultRowHeight="15" x14ac:dyDescent="0.25"/>
  <cols>
    <col min="1" max="1" width="12" customWidth="1"/>
    <col min="2" max="6" width="19" customWidth="1"/>
    <col min="7" max="7" width="23" customWidth="1"/>
    <col min="8" max="8" width="22" customWidth="1"/>
    <col min="9" max="12" width="19" customWidth="1"/>
    <col min="13" max="13" width="22" customWidth="1"/>
    <col min="14" max="16" width="19" customWidth="1"/>
    <col min="17" max="17" width="24" customWidth="1"/>
    <col min="18" max="18" width="30" customWidth="1"/>
  </cols>
  <sheetData>
    <row r="1" spans="1:18" x14ac:dyDescent="0.25">
      <c r="A1" s="1" t="s">
        <v>17</v>
      </c>
      <c r="B1" s="1">
        <v>1024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3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4</v>
      </c>
      <c r="R2" s="1" t="s">
        <v>5</v>
      </c>
    </row>
    <row r="3" spans="1:18" x14ac:dyDescent="0.25">
      <c r="A3" s="1">
        <v>1</v>
      </c>
      <c r="B3" s="1">
        <v>2</v>
      </c>
      <c r="C3" s="1">
        <v>34</v>
      </c>
      <c r="D3" s="1">
        <v>102</v>
      </c>
      <c r="E3" s="1">
        <v>10386</v>
      </c>
      <c r="F3" s="1">
        <v>1091379200</v>
      </c>
      <c r="G3" s="1">
        <v>0</v>
      </c>
      <c r="H3" s="1">
        <v>4</v>
      </c>
      <c r="I3" s="1">
        <v>0</v>
      </c>
      <c r="J3" s="1">
        <v>873.09646908809896</v>
      </c>
      <c r="K3" s="1">
        <v>1129574473</v>
      </c>
      <c r="L3" s="1">
        <v>11524</v>
      </c>
      <c r="M3" s="1">
        <v>0</v>
      </c>
      <c r="N3" s="1">
        <v>0</v>
      </c>
      <c r="O3" s="1">
        <v>1126969344</v>
      </c>
      <c r="P3" s="1">
        <v>275139</v>
      </c>
      <c r="Q3" s="1">
        <v>25214</v>
      </c>
      <c r="R3" s="1">
        <v>287728</v>
      </c>
    </row>
    <row r="4" spans="1:18" x14ac:dyDescent="0.25">
      <c r="A4" s="1">
        <v>2</v>
      </c>
      <c r="B4" s="1">
        <v>3</v>
      </c>
      <c r="C4" s="1">
        <v>34</v>
      </c>
      <c r="D4" s="1">
        <v>22</v>
      </c>
      <c r="E4" s="1">
        <v>10325</v>
      </c>
      <c r="F4" s="1">
        <v>1091379200</v>
      </c>
      <c r="G4" s="1">
        <v>0</v>
      </c>
      <c r="H4" s="1">
        <v>5</v>
      </c>
      <c r="I4" s="1">
        <v>0</v>
      </c>
      <c r="J4" s="1">
        <v>872.4594352346711</v>
      </c>
      <c r="K4" s="1">
        <v>1122097622</v>
      </c>
      <c r="L4" s="1">
        <v>12099</v>
      </c>
      <c r="M4" s="1">
        <v>0</v>
      </c>
      <c r="N4" s="1">
        <v>0</v>
      </c>
      <c r="O4" s="1">
        <v>1119326208</v>
      </c>
      <c r="P4" s="1">
        <v>273273</v>
      </c>
      <c r="Q4" s="1">
        <v>28799</v>
      </c>
      <c r="R4" s="1">
        <v>287206</v>
      </c>
    </row>
    <row r="5" spans="1:18" x14ac:dyDescent="0.25">
      <c r="A5" s="1">
        <v>3</v>
      </c>
      <c r="B5" s="1">
        <v>2</v>
      </c>
      <c r="C5" s="1">
        <v>33</v>
      </c>
      <c r="D5" s="1">
        <v>665</v>
      </c>
      <c r="E5" s="1">
        <v>10366</v>
      </c>
      <c r="F5" s="1">
        <v>1091379200</v>
      </c>
      <c r="G5" s="1">
        <v>0</v>
      </c>
      <c r="H5" s="1">
        <v>4</v>
      </c>
      <c r="I5" s="1">
        <v>0</v>
      </c>
      <c r="J5" s="1">
        <v>868.98065769863547</v>
      </c>
      <c r="K5" s="1">
        <v>1122184784</v>
      </c>
      <c r="L5" s="1">
        <v>13338</v>
      </c>
      <c r="M5" s="1">
        <v>0</v>
      </c>
      <c r="N5" s="1">
        <v>0</v>
      </c>
      <c r="O5" s="1">
        <v>1119637504</v>
      </c>
      <c r="P5" s="1">
        <v>273349</v>
      </c>
      <c r="Q5" s="1">
        <v>24982</v>
      </c>
      <c r="R5" s="1">
        <v>287712</v>
      </c>
    </row>
    <row r="6" spans="1:18" x14ac:dyDescent="0.25">
      <c r="A6" s="1" t="s">
        <v>33</v>
      </c>
      <c r="B6" s="1">
        <f t="shared" ref="B6:R6" si="0">AVERAGE(B3:B5)</f>
        <v>2.3333333333333335</v>
      </c>
      <c r="C6" s="1">
        <f t="shared" si="0"/>
        <v>33.666666666666664</v>
      </c>
      <c r="D6" s="1">
        <f t="shared" si="0"/>
        <v>263</v>
      </c>
      <c r="E6" s="1">
        <f t="shared" si="0"/>
        <v>10359</v>
      </c>
      <c r="F6" s="1">
        <f t="shared" si="0"/>
        <v>1091379200</v>
      </c>
      <c r="G6" s="1">
        <f t="shared" si="0"/>
        <v>0</v>
      </c>
      <c r="H6" s="1">
        <f t="shared" si="0"/>
        <v>4.333333333333333</v>
      </c>
      <c r="I6" s="1">
        <f t="shared" si="0"/>
        <v>0</v>
      </c>
      <c r="J6" s="1">
        <f t="shared" si="0"/>
        <v>871.51218734046836</v>
      </c>
      <c r="K6" s="1">
        <f t="shared" si="0"/>
        <v>1124618959.6666667</v>
      </c>
      <c r="L6" s="1">
        <f t="shared" si="0"/>
        <v>12320.333333333334</v>
      </c>
      <c r="M6" s="1">
        <f t="shared" si="0"/>
        <v>0</v>
      </c>
      <c r="N6" s="1">
        <f t="shared" si="0"/>
        <v>0</v>
      </c>
      <c r="O6" s="1">
        <f t="shared" si="0"/>
        <v>1121977685.3333333</v>
      </c>
      <c r="P6" s="1">
        <f t="shared" si="0"/>
        <v>273920.33333333331</v>
      </c>
      <c r="Q6" s="1">
        <f t="shared" si="0"/>
        <v>26331.666666666668</v>
      </c>
      <c r="R6" s="1">
        <f t="shared" si="0"/>
        <v>287548.66666666669</v>
      </c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 t="s">
        <v>17</v>
      </c>
      <c r="B8" s="1">
        <v>2048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3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28</v>
      </c>
      <c r="M9" s="1" t="s">
        <v>29</v>
      </c>
      <c r="N9" s="1" t="s">
        <v>30</v>
      </c>
      <c r="O9" s="1" t="s">
        <v>31</v>
      </c>
      <c r="P9" s="1" t="s">
        <v>32</v>
      </c>
      <c r="Q9" s="1" t="s">
        <v>4</v>
      </c>
      <c r="R9" s="1" t="s">
        <v>5</v>
      </c>
    </row>
    <row r="10" spans="1:18" x14ac:dyDescent="0.25">
      <c r="A10" s="1">
        <v>1</v>
      </c>
      <c r="B10" s="1">
        <v>3</v>
      </c>
      <c r="C10" s="1">
        <v>34</v>
      </c>
      <c r="D10" s="1">
        <v>31</v>
      </c>
      <c r="E10" s="1">
        <v>20196</v>
      </c>
      <c r="F10" s="1">
        <v>2165121024</v>
      </c>
      <c r="G10" s="1">
        <v>0</v>
      </c>
      <c r="H10" s="1">
        <v>5</v>
      </c>
      <c r="I10" s="1">
        <v>0</v>
      </c>
      <c r="J10" s="1">
        <v>891.57267652018652</v>
      </c>
      <c r="K10" s="1">
        <v>2246773654</v>
      </c>
      <c r="L10" s="1">
        <v>12061</v>
      </c>
      <c r="M10" s="1">
        <v>0</v>
      </c>
      <c r="N10" s="1">
        <v>0</v>
      </c>
      <c r="O10" s="1">
        <v>2241437696</v>
      </c>
      <c r="P10" s="1">
        <v>547226</v>
      </c>
      <c r="Q10" s="1">
        <v>53099</v>
      </c>
      <c r="R10" s="1">
        <v>561931</v>
      </c>
    </row>
    <row r="11" spans="1:18" x14ac:dyDescent="0.25">
      <c r="A11" s="1">
        <v>2</v>
      </c>
      <c r="B11" s="1">
        <v>3</v>
      </c>
      <c r="C11" s="1">
        <v>34</v>
      </c>
      <c r="D11" s="1">
        <v>24</v>
      </c>
      <c r="E11" s="1">
        <v>20193</v>
      </c>
      <c r="F11" s="1">
        <v>2165121024</v>
      </c>
      <c r="G11" s="1">
        <v>0</v>
      </c>
      <c r="H11" s="1">
        <v>5</v>
      </c>
      <c r="I11" s="1">
        <v>0</v>
      </c>
      <c r="J11" s="1">
        <v>895.62280946475528</v>
      </c>
      <c r="K11" s="1">
        <v>2256645143</v>
      </c>
      <c r="L11" s="1">
        <v>11271</v>
      </c>
      <c r="M11" s="1">
        <v>0</v>
      </c>
      <c r="N11" s="1">
        <v>0</v>
      </c>
      <c r="O11" s="1">
        <v>2251456512</v>
      </c>
      <c r="P11" s="1">
        <v>549672</v>
      </c>
      <c r="Q11" s="1">
        <v>47527</v>
      </c>
      <c r="R11" s="1">
        <v>562909</v>
      </c>
    </row>
    <row r="12" spans="1:18" x14ac:dyDescent="0.25">
      <c r="A12" s="1">
        <v>3</v>
      </c>
      <c r="B12" s="1">
        <v>3</v>
      </c>
      <c r="C12" s="1">
        <v>34</v>
      </c>
      <c r="D12" s="1">
        <v>47</v>
      </c>
      <c r="E12" s="1">
        <v>20149</v>
      </c>
      <c r="F12" s="1">
        <v>2165121024</v>
      </c>
      <c r="G12" s="1">
        <v>0</v>
      </c>
      <c r="H12" s="1">
        <v>5</v>
      </c>
      <c r="I12" s="1">
        <v>0</v>
      </c>
      <c r="J12" s="1">
        <v>894.07861595824011</v>
      </c>
      <c r="K12" s="1">
        <v>2247836536</v>
      </c>
      <c r="L12" s="1">
        <v>12113</v>
      </c>
      <c r="M12" s="1">
        <v>0</v>
      </c>
      <c r="N12" s="1">
        <v>0</v>
      </c>
      <c r="O12" s="1">
        <v>2242220032</v>
      </c>
      <c r="P12" s="1">
        <v>547417</v>
      </c>
      <c r="Q12" s="1">
        <v>48756</v>
      </c>
      <c r="R12" s="1">
        <v>562803</v>
      </c>
    </row>
    <row r="13" spans="1:18" x14ac:dyDescent="0.25">
      <c r="A13" s="1" t="s">
        <v>33</v>
      </c>
      <c r="B13" s="1">
        <f t="shared" ref="B13:R13" si="1">AVERAGE(B10:B12)</f>
        <v>3</v>
      </c>
      <c r="C13" s="1">
        <f t="shared" si="1"/>
        <v>34</v>
      </c>
      <c r="D13" s="1">
        <f t="shared" si="1"/>
        <v>34</v>
      </c>
      <c r="E13" s="1">
        <f t="shared" si="1"/>
        <v>20179.333333333332</v>
      </c>
      <c r="F13" s="1">
        <f t="shared" si="1"/>
        <v>2165121024</v>
      </c>
      <c r="G13" s="1">
        <f t="shared" si="1"/>
        <v>0</v>
      </c>
      <c r="H13" s="1">
        <f t="shared" si="1"/>
        <v>5</v>
      </c>
      <c r="I13" s="1">
        <f t="shared" si="1"/>
        <v>0</v>
      </c>
      <c r="J13" s="1">
        <f t="shared" si="1"/>
        <v>893.75803398106063</v>
      </c>
      <c r="K13" s="1">
        <f t="shared" si="1"/>
        <v>2250418444.3333335</v>
      </c>
      <c r="L13" s="1">
        <f t="shared" si="1"/>
        <v>11815</v>
      </c>
      <c r="M13" s="1">
        <f t="shared" si="1"/>
        <v>0</v>
      </c>
      <c r="N13" s="1">
        <f t="shared" si="1"/>
        <v>0</v>
      </c>
      <c r="O13" s="1">
        <f t="shared" si="1"/>
        <v>2245038080</v>
      </c>
      <c r="P13" s="1">
        <f t="shared" si="1"/>
        <v>548105</v>
      </c>
      <c r="Q13" s="1">
        <f t="shared" si="1"/>
        <v>49794</v>
      </c>
      <c r="R13" s="1">
        <f t="shared" si="1"/>
        <v>562547.66666666663</v>
      </c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 t="s">
        <v>17</v>
      </c>
      <c r="B15" s="1">
        <v>4096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3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26</v>
      </c>
      <c r="K16" s="1" t="s">
        <v>27</v>
      </c>
      <c r="L16" s="1" t="s">
        <v>28</v>
      </c>
      <c r="M16" s="1" t="s">
        <v>29</v>
      </c>
      <c r="N16" s="1" t="s">
        <v>30</v>
      </c>
      <c r="O16" s="1" t="s">
        <v>31</v>
      </c>
      <c r="P16" s="1" t="s">
        <v>32</v>
      </c>
      <c r="Q16" s="1" t="s">
        <v>4</v>
      </c>
      <c r="R16" s="1" t="s">
        <v>5</v>
      </c>
    </row>
    <row r="17" spans="1:18" x14ac:dyDescent="0.25">
      <c r="A17" s="1">
        <v>1</v>
      </c>
      <c r="B17" s="1">
        <v>4</v>
      </c>
      <c r="C17" s="1">
        <v>36</v>
      </c>
      <c r="D17" s="1">
        <v>58</v>
      </c>
      <c r="E17" s="1">
        <v>34502</v>
      </c>
      <c r="F17" s="1">
        <v>4312604672</v>
      </c>
      <c r="G17" s="1">
        <v>0</v>
      </c>
      <c r="H17" s="1">
        <v>6</v>
      </c>
      <c r="I17" s="1">
        <v>0</v>
      </c>
      <c r="J17" s="1">
        <v>779.45603319213137</v>
      </c>
      <c r="K17" s="1">
        <v>3357879045</v>
      </c>
      <c r="L17" s="1">
        <v>305516</v>
      </c>
      <c r="M17" s="1">
        <v>0</v>
      </c>
      <c r="N17" s="1">
        <v>0</v>
      </c>
      <c r="O17" s="1">
        <v>3346358272</v>
      </c>
      <c r="P17" s="1">
        <v>816982</v>
      </c>
      <c r="Q17" s="1">
        <v>141946</v>
      </c>
      <c r="R17" s="1">
        <v>1130519</v>
      </c>
    </row>
    <row r="18" spans="1:18" x14ac:dyDescent="0.25">
      <c r="A18" s="1">
        <v>2</v>
      </c>
      <c r="B18" s="1">
        <v>3</v>
      </c>
      <c r="C18" s="1">
        <v>37</v>
      </c>
      <c r="D18" s="1">
        <v>85</v>
      </c>
      <c r="E18" s="1">
        <v>33852</v>
      </c>
      <c r="F18" s="1">
        <v>4312604672</v>
      </c>
      <c r="G18" s="1">
        <v>0</v>
      </c>
      <c r="H18" s="1">
        <v>5</v>
      </c>
      <c r="I18" s="1">
        <v>0</v>
      </c>
      <c r="J18" s="1">
        <v>815.02955019961553</v>
      </c>
      <c r="K18" s="1">
        <v>3444815646</v>
      </c>
      <c r="L18" s="1">
        <v>294747</v>
      </c>
      <c r="M18" s="1">
        <v>0</v>
      </c>
      <c r="N18" s="1">
        <v>0</v>
      </c>
      <c r="O18" s="1">
        <v>3433570304</v>
      </c>
      <c r="P18" s="1">
        <v>838274</v>
      </c>
      <c r="Q18" s="1">
        <v>54379</v>
      </c>
      <c r="R18" s="1">
        <v>1138873</v>
      </c>
    </row>
    <row r="19" spans="1:18" x14ac:dyDescent="0.25">
      <c r="A19" s="1">
        <v>3</v>
      </c>
      <c r="B19" s="1">
        <v>3</v>
      </c>
      <c r="C19" s="1">
        <v>36</v>
      </c>
      <c r="D19" s="1">
        <v>72</v>
      </c>
      <c r="E19" s="1">
        <v>34696</v>
      </c>
      <c r="F19" s="1">
        <v>4312604672</v>
      </c>
      <c r="G19" s="1">
        <v>0</v>
      </c>
      <c r="H19" s="1">
        <v>5</v>
      </c>
      <c r="I19" s="1">
        <v>0</v>
      </c>
      <c r="J19" s="1">
        <v>829.97741027120605</v>
      </c>
      <c r="K19" s="1">
        <v>3595664746</v>
      </c>
      <c r="L19" s="1">
        <v>261948</v>
      </c>
      <c r="M19" s="1">
        <v>0</v>
      </c>
      <c r="N19" s="1">
        <v>0</v>
      </c>
      <c r="O19" s="1">
        <v>3584512000</v>
      </c>
      <c r="P19" s="1">
        <v>875125</v>
      </c>
      <c r="Q19" s="1">
        <v>56228</v>
      </c>
      <c r="R19" s="1">
        <v>1142313</v>
      </c>
    </row>
    <row r="20" spans="1:18" x14ac:dyDescent="0.25">
      <c r="A20" s="1" t="s">
        <v>33</v>
      </c>
      <c r="B20" s="1">
        <f t="shared" ref="B20:R20" si="2">AVERAGE(B17:B19)</f>
        <v>3.3333333333333335</v>
      </c>
      <c r="C20" s="1">
        <f t="shared" si="2"/>
        <v>36.333333333333336</v>
      </c>
      <c r="D20" s="1">
        <f t="shared" si="2"/>
        <v>71.666666666666671</v>
      </c>
      <c r="E20" s="1">
        <f t="shared" si="2"/>
        <v>34350</v>
      </c>
      <c r="F20" s="1">
        <f t="shared" si="2"/>
        <v>4312604672</v>
      </c>
      <c r="G20" s="1">
        <f t="shared" si="2"/>
        <v>0</v>
      </c>
      <c r="H20" s="1">
        <f t="shared" si="2"/>
        <v>5.333333333333333</v>
      </c>
      <c r="I20" s="1">
        <f t="shared" si="2"/>
        <v>0</v>
      </c>
      <c r="J20" s="1">
        <f t="shared" si="2"/>
        <v>808.1543312209842</v>
      </c>
      <c r="K20" s="1">
        <f t="shared" si="2"/>
        <v>3466119812.3333335</v>
      </c>
      <c r="L20" s="1">
        <f t="shared" si="2"/>
        <v>287403.66666666669</v>
      </c>
      <c r="M20" s="1">
        <f t="shared" si="2"/>
        <v>0</v>
      </c>
      <c r="N20" s="1">
        <f t="shared" si="2"/>
        <v>0</v>
      </c>
      <c r="O20" s="1">
        <f t="shared" si="2"/>
        <v>3454813525.3333335</v>
      </c>
      <c r="P20" s="1">
        <f t="shared" si="2"/>
        <v>843460.33333333337</v>
      </c>
      <c r="Q20" s="1">
        <f t="shared" si="2"/>
        <v>84184.333333333328</v>
      </c>
      <c r="R20" s="1">
        <f t="shared" si="2"/>
        <v>1137235</v>
      </c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17</v>
      </c>
      <c r="B22" s="1">
        <v>8192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 s="1" t="s">
        <v>21</v>
      </c>
      <c r="E23" s="1" t="s">
        <v>3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  <c r="N23" s="1" t="s">
        <v>30</v>
      </c>
      <c r="O23" s="1" t="s">
        <v>31</v>
      </c>
      <c r="P23" s="1" t="s">
        <v>32</v>
      </c>
      <c r="Q23" s="1" t="s">
        <v>4</v>
      </c>
      <c r="R23" s="1" t="s">
        <v>5</v>
      </c>
    </row>
    <row r="24" spans="1:18" x14ac:dyDescent="0.25">
      <c r="A24" s="1">
        <v>1</v>
      </c>
      <c r="B24" s="1">
        <v>4</v>
      </c>
      <c r="C24" s="1">
        <v>37</v>
      </c>
      <c r="D24" s="1">
        <v>40</v>
      </c>
      <c r="E24" s="1">
        <v>50231</v>
      </c>
      <c r="F24" s="1">
        <v>8607571968</v>
      </c>
      <c r="G24" s="1">
        <v>0</v>
      </c>
      <c r="H24" s="1">
        <v>6</v>
      </c>
      <c r="I24" s="1">
        <v>0</v>
      </c>
      <c r="J24" s="1">
        <v>603.36233047774635</v>
      </c>
      <c r="K24" s="1">
        <v>3785433692</v>
      </c>
      <c r="L24" s="1">
        <v>1281068</v>
      </c>
      <c r="M24" s="1">
        <v>0</v>
      </c>
      <c r="N24" s="1">
        <v>0</v>
      </c>
      <c r="O24" s="1">
        <v>3763830784</v>
      </c>
      <c r="P24" s="1">
        <v>918904</v>
      </c>
      <c r="Q24" s="1">
        <v>107791</v>
      </c>
      <c r="R24" s="1">
        <v>2207805</v>
      </c>
    </row>
    <row r="25" spans="1:18" x14ac:dyDescent="0.25">
      <c r="A25" s="1">
        <v>2</v>
      </c>
      <c r="B25" s="1">
        <v>4</v>
      </c>
      <c r="C25" s="1">
        <v>36</v>
      </c>
      <c r="D25" s="1">
        <v>47</v>
      </c>
      <c r="E25" s="1">
        <v>50257</v>
      </c>
      <c r="F25" s="1">
        <v>8607571968</v>
      </c>
      <c r="G25" s="1">
        <v>0</v>
      </c>
      <c r="H25" s="1">
        <v>6</v>
      </c>
      <c r="I25" s="1">
        <v>0</v>
      </c>
      <c r="J25" s="1">
        <v>576.94138690985847</v>
      </c>
      <c r="K25" s="1">
        <v>3621609264</v>
      </c>
      <c r="L25" s="1">
        <v>1305328</v>
      </c>
      <c r="M25" s="1">
        <v>0</v>
      </c>
      <c r="N25" s="1">
        <v>0</v>
      </c>
      <c r="O25" s="1">
        <v>3600064512</v>
      </c>
      <c r="P25" s="1">
        <v>878922</v>
      </c>
      <c r="Q25" s="1">
        <v>184503</v>
      </c>
      <c r="R25" s="1">
        <v>2192235</v>
      </c>
    </row>
    <row r="26" spans="1:18" x14ac:dyDescent="0.25">
      <c r="A26" s="1">
        <v>3</v>
      </c>
      <c r="B26" s="1">
        <v>4</v>
      </c>
      <c r="C26" s="1">
        <v>37</v>
      </c>
      <c r="D26" s="1">
        <v>32</v>
      </c>
      <c r="E26" s="1">
        <v>50176</v>
      </c>
      <c r="F26" s="1">
        <v>8607571968</v>
      </c>
      <c r="G26" s="1">
        <v>0</v>
      </c>
      <c r="H26" s="1">
        <v>6</v>
      </c>
      <c r="I26" s="1">
        <v>0</v>
      </c>
      <c r="J26" s="1">
        <v>617.62354717884284</v>
      </c>
      <c r="K26" s="1">
        <v>3870665969</v>
      </c>
      <c r="L26" s="1">
        <v>1247929</v>
      </c>
      <c r="M26" s="1">
        <v>0</v>
      </c>
      <c r="N26" s="1">
        <v>0</v>
      </c>
      <c r="O26" s="1">
        <v>3849609216</v>
      </c>
      <c r="P26" s="1">
        <v>939846</v>
      </c>
      <c r="Q26" s="1">
        <v>96177</v>
      </c>
      <c r="R26" s="1">
        <v>2193676</v>
      </c>
    </row>
    <row r="27" spans="1:18" x14ac:dyDescent="0.25">
      <c r="A27" s="1" t="s">
        <v>33</v>
      </c>
      <c r="B27" s="1">
        <f t="shared" ref="B27:R27" si="3">AVERAGE(B24:B26)</f>
        <v>4</v>
      </c>
      <c r="C27" s="1">
        <f t="shared" si="3"/>
        <v>36.666666666666664</v>
      </c>
      <c r="D27" s="1">
        <f t="shared" si="3"/>
        <v>39.666666666666664</v>
      </c>
      <c r="E27" s="1">
        <f t="shared" si="3"/>
        <v>50221.333333333336</v>
      </c>
      <c r="F27" s="1">
        <f t="shared" si="3"/>
        <v>8607571968</v>
      </c>
      <c r="G27" s="1">
        <f t="shared" si="3"/>
        <v>0</v>
      </c>
      <c r="H27" s="1">
        <f t="shared" si="3"/>
        <v>6</v>
      </c>
      <c r="I27" s="1">
        <f t="shared" si="3"/>
        <v>0</v>
      </c>
      <c r="J27" s="1">
        <f t="shared" si="3"/>
        <v>599.30908818881596</v>
      </c>
      <c r="K27" s="1">
        <f t="shared" si="3"/>
        <v>3759236308.3333335</v>
      </c>
      <c r="L27" s="1">
        <f t="shared" si="3"/>
        <v>1278108.3333333333</v>
      </c>
      <c r="M27" s="1">
        <f t="shared" si="3"/>
        <v>0</v>
      </c>
      <c r="N27" s="1">
        <f t="shared" si="3"/>
        <v>0</v>
      </c>
      <c r="O27" s="1">
        <f t="shared" si="3"/>
        <v>3737834837.3333335</v>
      </c>
      <c r="P27" s="1">
        <f t="shared" si="3"/>
        <v>912557.33333333337</v>
      </c>
      <c r="Q27" s="1">
        <f t="shared" si="3"/>
        <v>129490.33333333333</v>
      </c>
      <c r="R27" s="1">
        <f t="shared" si="3"/>
        <v>2197905.3333333335</v>
      </c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 t="s">
        <v>17</v>
      </c>
      <c r="B29" s="1">
        <v>12288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 s="1" t="s">
        <v>21</v>
      </c>
      <c r="E30" s="1" t="s">
        <v>3</v>
      </c>
      <c r="F30" s="1" t="s">
        <v>22</v>
      </c>
      <c r="G30" s="1" t="s">
        <v>23</v>
      </c>
      <c r="H30" s="1" t="s">
        <v>24</v>
      </c>
      <c r="I30" s="1" t="s">
        <v>25</v>
      </c>
      <c r="J30" s="1" t="s">
        <v>26</v>
      </c>
      <c r="K30" s="1" t="s">
        <v>27</v>
      </c>
      <c r="L30" s="1" t="s">
        <v>28</v>
      </c>
      <c r="M30" s="1" t="s">
        <v>29</v>
      </c>
      <c r="N30" s="1" t="s">
        <v>30</v>
      </c>
      <c r="O30" s="1" t="s">
        <v>31</v>
      </c>
      <c r="P30" s="1" t="s">
        <v>32</v>
      </c>
      <c r="Q30" s="1" t="s">
        <v>4</v>
      </c>
      <c r="R30" s="1" t="s">
        <v>5</v>
      </c>
    </row>
    <row r="31" spans="1:18" x14ac:dyDescent="0.25">
      <c r="A31" s="1">
        <v>1</v>
      </c>
      <c r="B31" s="1">
        <v>5</v>
      </c>
      <c r="C31" s="1">
        <v>38</v>
      </c>
      <c r="D31" s="1">
        <v>202</v>
      </c>
      <c r="E31" s="1">
        <v>65818</v>
      </c>
      <c r="F31" s="1">
        <v>12902539264</v>
      </c>
      <c r="G31" s="1">
        <v>0</v>
      </c>
      <c r="H31" s="1">
        <v>7</v>
      </c>
      <c r="I31" s="1">
        <v>0</v>
      </c>
      <c r="J31" s="1">
        <v>480.2342093037397</v>
      </c>
      <c r="K31" s="1">
        <v>3948513100</v>
      </c>
      <c r="L31" s="1">
        <v>2293841</v>
      </c>
      <c r="M31" s="1">
        <v>0</v>
      </c>
      <c r="N31" s="1">
        <v>0</v>
      </c>
      <c r="O31" s="1">
        <v>3914354688</v>
      </c>
      <c r="P31" s="1">
        <v>955653</v>
      </c>
      <c r="Q31" s="1">
        <v>200581</v>
      </c>
      <c r="R31" s="1">
        <v>3259437</v>
      </c>
    </row>
    <row r="32" spans="1:18" x14ac:dyDescent="0.25">
      <c r="A32" s="1">
        <v>2</v>
      </c>
      <c r="B32" s="1">
        <v>4</v>
      </c>
      <c r="C32" s="1">
        <v>38</v>
      </c>
      <c r="D32" s="1">
        <v>39</v>
      </c>
      <c r="E32" s="1">
        <v>65211</v>
      </c>
      <c r="F32" s="1">
        <v>12902539264</v>
      </c>
      <c r="G32" s="1">
        <v>0</v>
      </c>
      <c r="H32" s="1">
        <v>6</v>
      </c>
      <c r="I32" s="1">
        <v>0</v>
      </c>
      <c r="J32" s="1">
        <v>482.09622401914902</v>
      </c>
      <c r="K32" s="1">
        <v>3927244741</v>
      </c>
      <c r="L32" s="1">
        <v>2304523</v>
      </c>
      <c r="M32" s="1">
        <v>0</v>
      </c>
      <c r="N32" s="1">
        <v>0</v>
      </c>
      <c r="O32" s="1">
        <v>3896184832</v>
      </c>
      <c r="P32" s="1">
        <v>951217</v>
      </c>
      <c r="Q32" s="1">
        <v>186231</v>
      </c>
      <c r="R32" s="1">
        <v>3263931</v>
      </c>
    </row>
    <row r="33" spans="1:18" x14ac:dyDescent="0.25">
      <c r="A33" s="1">
        <v>3</v>
      </c>
      <c r="B33" s="1">
        <v>4</v>
      </c>
      <c r="C33" s="1">
        <v>39</v>
      </c>
      <c r="D33" s="1">
        <v>47</v>
      </c>
      <c r="E33" s="1">
        <v>65456</v>
      </c>
      <c r="F33" s="1">
        <v>12902539264</v>
      </c>
      <c r="G33" s="1">
        <v>0</v>
      </c>
      <c r="H33" s="1">
        <v>6</v>
      </c>
      <c r="I33" s="1">
        <v>0</v>
      </c>
      <c r="J33" s="1">
        <v>480.13300762798661</v>
      </c>
      <c r="K33" s="1">
        <v>3925895210</v>
      </c>
      <c r="L33" s="1">
        <v>2306424</v>
      </c>
      <c r="M33" s="1">
        <v>0</v>
      </c>
      <c r="N33" s="1">
        <v>0</v>
      </c>
      <c r="O33" s="1">
        <v>3894456320</v>
      </c>
      <c r="P33" s="1">
        <v>950795</v>
      </c>
      <c r="Q33" s="1">
        <v>118109</v>
      </c>
      <c r="R33" s="1">
        <v>3265135</v>
      </c>
    </row>
    <row r="34" spans="1:18" x14ac:dyDescent="0.25">
      <c r="A34" s="1" t="s">
        <v>33</v>
      </c>
      <c r="B34" s="1">
        <f t="shared" ref="B34:R34" si="4">AVERAGE(B31:B33)</f>
        <v>4.333333333333333</v>
      </c>
      <c r="C34" s="1">
        <f t="shared" si="4"/>
        <v>38.333333333333336</v>
      </c>
      <c r="D34" s="1">
        <f t="shared" si="4"/>
        <v>96</v>
      </c>
      <c r="E34" s="1">
        <f t="shared" si="4"/>
        <v>65495</v>
      </c>
      <c r="F34" s="1">
        <f t="shared" si="4"/>
        <v>12902539264</v>
      </c>
      <c r="G34" s="1">
        <f t="shared" si="4"/>
        <v>0</v>
      </c>
      <c r="H34" s="1">
        <f t="shared" si="4"/>
        <v>6.333333333333333</v>
      </c>
      <c r="I34" s="1">
        <f t="shared" si="4"/>
        <v>0</v>
      </c>
      <c r="J34" s="1">
        <f t="shared" si="4"/>
        <v>480.82114698362511</v>
      </c>
      <c r="K34" s="1">
        <f t="shared" si="4"/>
        <v>3933884350.3333335</v>
      </c>
      <c r="L34" s="1">
        <f t="shared" si="4"/>
        <v>2301596</v>
      </c>
      <c r="M34" s="1">
        <f t="shared" si="4"/>
        <v>0</v>
      </c>
      <c r="N34" s="1">
        <f t="shared" si="4"/>
        <v>0</v>
      </c>
      <c r="O34" s="1">
        <f t="shared" si="4"/>
        <v>3901665280</v>
      </c>
      <c r="P34" s="1">
        <f t="shared" si="4"/>
        <v>952555</v>
      </c>
      <c r="Q34" s="1">
        <f t="shared" si="4"/>
        <v>168307</v>
      </c>
      <c r="R34" s="1">
        <f t="shared" si="4"/>
        <v>3262834.3333333335</v>
      </c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 t="s">
        <v>17</v>
      </c>
      <c r="B36" s="1">
        <v>16384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 s="1" t="s">
        <v>21</v>
      </c>
      <c r="E37" s="1" t="s">
        <v>3</v>
      </c>
      <c r="F37" s="1" t="s">
        <v>22</v>
      </c>
      <c r="G37" s="1" t="s">
        <v>23</v>
      </c>
      <c r="H37" s="1" t="s">
        <v>24</v>
      </c>
      <c r="I37" s="1" t="s">
        <v>25</v>
      </c>
      <c r="J37" s="1" t="s">
        <v>26</v>
      </c>
      <c r="K37" s="1" t="s">
        <v>27</v>
      </c>
      <c r="L37" s="1" t="s">
        <v>28</v>
      </c>
      <c r="M37" s="1" t="s">
        <v>29</v>
      </c>
      <c r="N37" s="1" t="s">
        <v>30</v>
      </c>
      <c r="O37" s="1" t="s">
        <v>31</v>
      </c>
      <c r="P37" s="1" t="s">
        <v>32</v>
      </c>
      <c r="Q37" s="1" t="s">
        <v>4</v>
      </c>
      <c r="R37" s="1" t="s">
        <v>5</v>
      </c>
    </row>
    <row r="38" spans="1:18" x14ac:dyDescent="0.25">
      <c r="A38" s="1">
        <v>1</v>
      </c>
      <c r="B38" s="1">
        <v>6</v>
      </c>
      <c r="C38" s="1">
        <v>40</v>
      </c>
      <c r="D38" s="1">
        <v>111</v>
      </c>
      <c r="E38" s="1">
        <v>83029</v>
      </c>
      <c r="F38" s="1">
        <v>17197506560</v>
      </c>
      <c r="G38" s="1">
        <v>0</v>
      </c>
      <c r="H38" s="1">
        <v>8</v>
      </c>
      <c r="I38" s="1">
        <v>0</v>
      </c>
      <c r="J38" s="1">
        <v>449.83306365903923</v>
      </c>
      <c r="K38" s="1">
        <v>4666187053</v>
      </c>
      <c r="L38" s="1">
        <v>3192092</v>
      </c>
      <c r="M38" s="1">
        <v>0</v>
      </c>
      <c r="N38" s="1">
        <v>0</v>
      </c>
      <c r="O38" s="1">
        <v>4618993664</v>
      </c>
      <c r="P38" s="1">
        <v>1127684</v>
      </c>
      <c r="Q38" s="1">
        <v>219823</v>
      </c>
      <c r="R38" s="1">
        <v>4332466</v>
      </c>
    </row>
    <row r="39" spans="1:18" x14ac:dyDescent="0.25">
      <c r="A39" s="1">
        <v>2</v>
      </c>
      <c r="B39" s="1">
        <v>7</v>
      </c>
      <c r="C39" s="1">
        <v>42</v>
      </c>
      <c r="D39" s="1">
        <v>88</v>
      </c>
      <c r="E39" s="1">
        <v>82886</v>
      </c>
      <c r="F39" s="1">
        <v>17197506560</v>
      </c>
      <c r="G39" s="1">
        <v>0</v>
      </c>
      <c r="H39" s="1">
        <v>9</v>
      </c>
      <c r="I39" s="1">
        <v>0</v>
      </c>
      <c r="J39" s="1">
        <v>414.18050127951329</v>
      </c>
      <c r="K39" s="1">
        <v>4288833443</v>
      </c>
      <c r="L39" s="1">
        <v>3289009</v>
      </c>
      <c r="M39" s="1">
        <v>0</v>
      </c>
      <c r="N39" s="1">
        <v>0</v>
      </c>
      <c r="O39" s="1">
        <v>4241215488</v>
      </c>
      <c r="P39" s="1">
        <v>1035453</v>
      </c>
      <c r="Q39" s="1">
        <v>285243</v>
      </c>
      <c r="R39" s="1">
        <v>4340002</v>
      </c>
    </row>
    <row r="40" spans="1:18" x14ac:dyDescent="0.25">
      <c r="A40" s="1">
        <v>3</v>
      </c>
      <c r="B40" s="1">
        <v>4</v>
      </c>
      <c r="C40" s="1">
        <v>40</v>
      </c>
      <c r="D40" s="1">
        <v>92</v>
      </c>
      <c r="E40" s="1">
        <v>83855</v>
      </c>
      <c r="F40" s="1">
        <v>17197506560</v>
      </c>
      <c r="G40" s="1">
        <v>0</v>
      </c>
      <c r="H40" s="1">
        <v>6</v>
      </c>
      <c r="I40" s="1">
        <v>0</v>
      </c>
      <c r="J40" s="1">
        <v>437.04974937660319</v>
      </c>
      <c r="K40" s="1">
        <v>4578703183</v>
      </c>
      <c r="L40" s="1">
        <v>3236109</v>
      </c>
      <c r="M40" s="1">
        <v>0</v>
      </c>
      <c r="N40" s="1">
        <v>0</v>
      </c>
      <c r="O40" s="1">
        <v>4537966592</v>
      </c>
      <c r="P40" s="1">
        <v>1107902</v>
      </c>
      <c r="Q40" s="1">
        <v>207849</v>
      </c>
      <c r="R40" s="1">
        <v>4352796</v>
      </c>
    </row>
    <row r="41" spans="1:18" x14ac:dyDescent="0.25">
      <c r="A41" s="1" t="s">
        <v>33</v>
      </c>
      <c r="B41" s="1">
        <f t="shared" ref="B41:R41" si="5">AVERAGE(B38:B40)</f>
        <v>5.666666666666667</v>
      </c>
      <c r="C41" s="1">
        <f t="shared" si="5"/>
        <v>40.666666666666664</v>
      </c>
      <c r="D41" s="1">
        <f t="shared" si="5"/>
        <v>97</v>
      </c>
      <c r="E41" s="1">
        <f t="shared" si="5"/>
        <v>83256.666666666672</v>
      </c>
      <c r="F41" s="1">
        <f t="shared" si="5"/>
        <v>17197506560</v>
      </c>
      <c r="G41" s="1">
        <f t="shared" si="5"/>
        <v>0</v>
      </c>
      <c r="H41" s="1">
        <f t="shared" si="5"/>
        <v>7.666666666666667</v>
      </c>
      <c r="I41" s="1">
        <f t="shared" si="5"/>
        <v>0</v>
      </c>
      <c r="J41" s="1">
        <f t="shared" si="5"/>
        <v>433.6877714383852</v>
      </c>
      <c r="K41" s="1">
        <f t="shared" si="5"/>
        <v>4511241226.333333</v>
      </c>
      <c r="L41" s="1">
        <f t="shared" si="5"/>
        <v>3239070</v>
      </c>
      <c r="M41" s="1">
        <f t="shared" si="5"/>
        <v>0</v>
      </c>
      <c r="N41" s="1">
        <f t="shared" si="5"/>
        <v>0</v>
      </c>
      <c r="O41" s="1">
        <f t="shared" si="5"/>
        <v>4466058581.333333</v>
      </c>
      <c r="P41" s="1">
        <f t="shared" si="5"/>
        <v>1090346.3333333333</v>
      </c>
      <c r="Q41" s="1">
        <f t="shared" si="5"/>
        <v>237638.33333333334</v>
      </c>
      <c r="R41" s="1">
        <f t="shared" si="5"/>
        <v>4341754.666666667</v>
      </c>
    </row>
    <row r="42" spans="1:1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2"/>
  <sheetViews>
    <sheetView workbookViewId="0"/>
  </sheetViews>
  <sheetFormatPr defaultRowHeight="15" x14ac:dyDescent="0.25"/>
  <cols>
    <col min="1" max="1" width="12" customWidth="1"/>
    <col min="2" max="6" width="19" customWidth="1"/>
    <col min="7" max="7" width="23" customWidth="1"/>
    <col min="8" max="8" width="22" customWidth="1"/>
    <col min="9" max="12" width="19" customWidth="1"/>
    <col min="13" max="13" width="22" customWidth="1"/>
    <col min="14" max="16" width="19" customWidth="1"/>
    <col min="17" max="17" width="24" customWidth="1"/>
    <col min="18" max="18" width="30" customWidth="1"/>
  </cols>
  <sheetData>
    <row r="1" spans="1:18" x14ac:dyDescent="0.25">
      <c r="A1" s="1" t="s">
        <v>17</v>
      </c>
      <c r="B1" s="1">
        <v>1024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3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4</v>
      </c>
      <c r="R2" s="1" t="s">
        <v>5</v>
      </c>
    </row>
    <row r="3" spans="1:18" x14ac:dyDescent="0.25">
      <c r="A3" s="1">
        <v>1</v>
      </c>
      <c r="B3" s="1">
        <v>2</v>
      </c>
      <c r="C3" s="1">
        <v>34</v>
      </c>
      <c r="D3" s="1">
        <v>98</v>
      </c>
      <c r="E3" s="1">
        <v>10388</v>
      </c>
      <c r="F3" s="1">
        <v>1091379200</v>
      </c>
      <c r="G3" s="1">
        <v>0</v>
      </c>
      <c r="H3" s="1">
        <v>4</v>
      </c>
      <c r="I3" s="1">
        <v>0</v>
      </c>
      <c r="J3" s="1">
        <v>874.20613869036117</v>
      </c>
      <c r="K3" s="1">
        <v>1131228937</v>
      </c>
      <c r="L3" s="1">
        <v>11886</v>
      </c>
      <c r="M3" s="1">
        <v>0</v>
      </c>
      <c r="N3" s="1">
        <v>0</v>
      </c>
      <c r="O3" s="1">
        <v>1128660992</v>
      </c>
      <c r="P3" s="1">
        <v>275552</v>
      </c>
      <c r="Q3" s="1">
        <v>26984</v>
      </c>
      <c r="R3" s="1">
        <v>288546</v>
      </c>
    </row>
    <row r="4" spans="1:18" x14ac:dyDescent="0.25">
      <c r="A4" s="1">
        <v>2</v>
      </c>
      <c r="B4" s="1">
        <v>2</v>
      </c>
      <c r="C4" s="1">
        <v>34</v>
      </c>
      <c r="D4" s="1">
        <v>76</v>
      </c>
      <c r="E4" s="1">
        <v>10378</v>
      </c>
      <c r="F4" s="1">
        <v>1091379200</v>
      </c>
      <c r="G4" s="1">
        <v>0</v>
      </c>
      <c r="H4" s="1">
        <v>4</v>
      </c>
      <c r="I4" s="1">
        <v>0</v>
      </c>
      <c r="J4" s="1">
        <v>860.65390796597057</v>
      </c>
      <c r="K4" s="1">
        <v>1112613145</v>
      </c>
      <c r="L4" s="1">
        <v>11220</v>
      </c>
      <c r="M4" s="1">
        <v>0</v>
      </c>
      <c r="N4" s="1">
        <v>0</v>
      </c>
      <c r="O4" s="1">
        <v>1110048768</v>
      </c>
      <c r="P4" s="1">
        <v>271008</v>
      </c>
      <c r="Q4" s="1">
        <v>32784</v>
      </c>
      <c r="R4" s="1">
        <v>283433</v>
      </c>
    </row>
    <row r="5" spans="1:18" x14ac:dyDescent="0.25">
      <c r="A5" s="1">
        <v>3</v>
      </c>
      <c r="B5" s="1">
        <v>2</v>
      </c>
      <c r="C5" s="1">
        <v>33</v>
      </c>
      <c r="D5" s="1">
        <v>69</v>
      </c>
      <c r="E5" s="1">
        <v>10342</v>
      </c>
      <c r="F5" s="1">
        <v>1091379200</v>
      </c>
      <c r="G5" s="1">
        <v>0</v>
      </c>
      <c r="H5" s="1">
        <v>4</v>
      </c>
      <c r="I5" s="1">
        <v>0</v>
      </c>
      <c r="J5" s="1">
        <v>875.25044601804245</v>
      </c>
      <c r="K5" s="1">
        <v>1127657248</v>
      </c>
      <c r="L5" s="1">
        <v>11205</v>
      </c>
      <c r="M5" s="1">
        <v>0</v>
      </c>
      <c r="N5" s="1">
        <v>0</v>
      </c>
      <c r="O5" s="1">
        <v>1125138432</v>
      </c>
      <c r="P5" s="1">
        <v>274692</v>
      </c>
      <c r="Q5" s="1">
        <v>29569</v>
      </c>
      <c r="R5" s="1">
        <v>287109</v>
      </c>
    </row>
    <row r="6" spans="1:18" x14ac:dyDescent="0.25">
      <c r="A6" s="1" t="s">
        <v>33</v>
      </c>
      <c r="B6" s="1">
        <f t="shared" ref="B6:R6" si="0">AVERAGE(B3:B5)</f>
        <v>2</v>
      </c>
      <c r="C6" s="1">
        <f t="shared" si="0"/>
        <v>33.666666666666664</v>
      </c>
      <c r="D6" s="1">
        <f t="shared" si="0"/>
        <v>81</v>
      </c>
      <c r="E6" s="1">
        <f t="shared" si="0"/>
        <v>10369.333333333334</v>
      </c>
      <c r="F6" s="1">
        <f t="shared" si="0"/>
        <v>1091379200</v>
      </c>
      <c r="G6" s="1">
        <f t="shared" si="0"/>
        <v>0</v>
      </c>
      <c r="H6" s="1">
        <f t="shared" si="0"/>
        <v>4</v>
      </c>
      <c r="I6" s="1">
        <f t="shared" si="0"/>
        <v>0</v>
      </c>
      <c r="J6" s="1">
        <f t="shared" si="0"/>
        <v>870.03683089145807</v>
      </c>
      <c r="K6" s="1">
        <f t="shared" si="0"/>
        <v>1123833110</v>
      </c>
      <c r="L6" s="1">
        <f t="shared" si="0"/>
        <v>11437</v>
      </c>
      <c r="M6" s="1">
        <f t="shared" si="0"/>
        <v>0</v>
      </c>
      <c r="N6" s="1">
        <f t="shared" si="0"/>
        <v>0</v>
      </c>
      <c r="O6" s="1">
        <f t="shared" si="0"/>
        <v>1121282730.6666667</v>
      </c>
      <c r="P6" s="1">
        <f t="shared" si="0"/>
        <v>273750.66666666669</v>
      </c>
      <c r="Q6" s="1">
        <f t="shared" si="0"/>
        <v>29779</v>
      </c>
      <c r="R6" s="1">
        <f t="shared" si="0"/>
        <v>286362.66666666669</v>
      </c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 t="s">
        <v>17</v>
      </c>
      <c r="B8" s="1">
        <v>2048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3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28</v>
      </c>
      <c r="M9" s="1" t="s">
        <v>29</v>
      </c>
      <c r="N9" s="1" t="s">
        <v>30</v>
      </c>
      <c r="O9" s="1" t="s">
        <v>31</v>
      </c>
      <c r="P9" s="1" t="s">
        <v>32</v>
      </c>
      <c r="Q9" s="1" t="s">
        <v>4</v>
      </c>
      <c r="R9" s="1" t="s">
        <v>5</v>
      </c>
    </row>
    <row r="10" spans="1:18" x14ac:dyDescent="0.25">
      <c r="A10" s="1">
        <v>1</v>
      </c>
      <c r="B10" s="1">
        <v>3</v>
      </c>
      <c r="C10" s="1">
        <v>34</v>
      </c>
      <c r="D10" s="1">
        <v>49</v>
      </c>
      <c r="E10" s="1">
        <v>20117</v>
      </c>
      <c r="F10" s="1">
        <v>2165121024</v>
      </c>
      <c r="G10" s="1">
        <v>0</v>
      </c>
      <c r="H10" s="1">
        <v>5</v>
      </c>
      <c r="I10" s="1">
        <v>0</v>
      </c>
      <c r="J10" s="1">
        <v>895.86919006124583</v>
      </c>
      <c r="K10" s="1">
        <v>2248755234</v>
      </c>
      <c r="L10" s="1">
        <v>11520</v>
      </c>
      <c r="M10" s="1">
        <v>0</v>
      </c>
      <c r="N10" s="1">
        <v>0</v>
      </c>
      <c r="O10" s="1">
        <v>2243592192</v>
      </c>
      <c r="P10" s="1">
        <v>547752</v>
      </c>
      <c r="Q10" s="1">
        <v>48833</v>
      </c>
      <c r="R10" s="1">
        <v>561713</v>
      </c>
    </row>
    <row r="11" spans="1:18" x14ac:dyDescent="0.25">
      <c r="A11" s="1">
        <v>2</v>
      </c>
      <c r="B11" s="1">
        <v>3</v>
      </c>
      <c r="C11" s="1">
        <v>36</v>
      </c>
      <c r="D11" s="1">
        <v>42</v>
      </c>
      <c r="E11" s="1">
        <v>20054</v>
      </c>
      <c r="F11" s="1">
        <v>2165121024</v>
      </c>
      <c r="G11" s="1">
        <v>0</v>
      </c>
      <c r="H11" s="1">
        <v>5</v>
      </c>
      <c r="I11" s="1">
        <v>0</v>
      </c>
      <c r="J11" s="1">
        <v>888.7403896493156</v>
      </c>
      <c r="K11" s="1">
        <v>2223638256</v>
      </c>
      <c r="L11" s="1">
        <v>11832</v>
      </c>
      <c r="M11" s="1">
        <v>0</v>
      </c>
      <c r="N11" s="1">
        <v>0</v>
      </c>
      <c r="O11" s="1">
        <v>2218401792</v>
      </c>
      <c r="P11" s="1">
        <v>541602</v>
      </c>
      <c r="Q11" s="1">
        <v>48090</v>
      </c>
      <c r="R11" s="1">
        <v>555815</v>
      </c>
    </row>
    <row r="12" spans="1:18" x14ac:dyDescent="0.25">
      <c r="A12" s="1">
        <v>3</v>
      </c>
      <c r="B12" s="1">
        <v>3</v>
      </c>
      <c r="C12" s="1">
        <v>33</v>
      </c>
      <c r="D12" s="1">
        <v>124</v>
      </c>
      <c r="E12" s="1">
        <v>20106</v>
      </c>
      <c r="F12" s="1">
        <v>2165121024</v>
      </c>
      <c r="G12" s="1">
        <v>0</v>
      </c>
      <c r="H12" s="1">
        <v>5</v>
      </c>
      <c r="I12" s="1">
        <v>0</v>
      </c>
      <c r="J12" s="1">
        <v>891.87839426094763</v>
      </c>
      <c r="K12" s="1">
        <v>2237621992</v>
      </c>
      <c r="L12" s="1">
        <v>12082</v>
      </c>
      <c r="M12" s="1">
        <v>0</v>
      </c>
      <c r="N12" s="1">
        <v>0</v>
      </c>
      <c r="O12" s="1">
        <v>2232475648</v>
      </c>
      <c r="P12" s="1">
        <v>545038</v>
      </c>
      <c r="Q12" s="1">
        <v>45080</v>
      </c>
      <c r="R12" s="1">
        <v>559146</v>
      </c>
    </row>
    <row r="13" spans="1:18" x14ac:dyDescent="0.25">
      <c r="A13" s="1" t="s">
        <v>33</v>
      </c>
      <c r="B13" s="1">
        <f t="shared" ref="B13:R13" si="1">AVERAGE(B10:B12)</f>
        <v>3</v>
      </c>
      <c r="C13" s="1">
        <f t="shared" si="1"/>
        <v>34.333333333333336</v>
      </c>
      <c r="D13" s="1">
        <f t="shared" si="1"/>
        <v>71.666666666666671</v>
      </c>
      <c r="E13" s="1">
        <f t="shared" si="1"/>
        <v>20092.333333333332</v>
      </c>
      <c r="F13" s="1">
        <f t="shared" si="1"/>
        <v>2165121024</v>
      </c>
      <c r="G13" s="1">
        <f t="shared" si="1"/>
        <v>0</v>
      </c>
      <c r="H13" s="1">
        <f t="shared" si="1"/>
        <v>5</v>
      </c>
      <c r="I13" s="1">
        <f t="shared" si="1"/>
        <v>0</v>
      </c>
      <c r="J13" s="1">
        <f t="shared" si="1"/>
        <v>892.16265799050291</v>
      </c>
      <c r="K13" s="1">
        <f t="shared" si="1"/>
        <v>2236671827.3333335</v>
      </c>
      <c r="L13" s="1">
        <f t="shared" si="1"/>
        <v>11811.333333333334</v>
      </c>
      <c r="M13" s="1">
        <f t="shared" si="1"/>
        <v>0</v>
      </c>
      <c r="N13" s="1">
        <f t="shared" si="1"/>
        <v>0</v>
      </c>
      <c r="O13" s="1">
        <f t="shared" si="1"/>
        <v>2231489877.3333335</v>
      </c>
      <c r="P13" s="1">
        <f t="shared" si="1"/>
        <v>544797.33333333337</v>
      </c>
      <c r="Q13" s="1">
        <f t="shared" si="1"/>
        <v>47334.333333333336</v>
      </c>
      <c r="R13" s="1">
        <f t="shared" si="1"/>
        <v>558891.33333333337</v>
      </c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 t="s">
        <v>17</v>
      </c>
      <c r="B15" s="1">
        <v>4096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3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26</v>
      </c>
      <c r="K16" s="1" t="s">
        <v>27</v>
      </c>
      <c r="L16" s="1" t="s">
        <v>28</v>
      </c>
      <c r="M16" s="1" t="s">
        <v>29</v>
      </c>
      <c r="N16" s="1" t="s">
        <v>30</v>
      </c>
      <c r="O16" s="1" t="s">
        <v>31</v>
      </c>
      <c r="P16" s="1" t="s">
        <v>32</v>
      </c>
      <c r="Q16" s="1" t="s">
        <v>4</v>
      </c>
      <c r="R16" s="1" t="s">
        <v>5</v>
      </c>
    </row>
    <row r="17" spans="1:18" x14ac:dyDescent="0.25">
      <c r="A17" s="1">
        <v>1</v>
      </c>
      <c r="B17" s="1">
        <v>4</v>
      </c>
      <c r="C17" s="1">
        <v>36</v>
      </c>
      <c r="D17" s="1">
        <v>58</v>
      </c>
      <c r="E17" s="1">
        <v>36568</v>
      </c>
      <c r="F17" s="1">
        <v>4312604672</v>
      </c>
      <c r="G17" s="1">
        <v>0</v>
      </c>
      <c r="H17" s="1">
        <v>6</v>
      </c>
      <c r="I17" s="1">
        <v>0</v>
      </c>
      <c r="J17" s="1">
        <v>792.85944837402815</v>
      </c>
      <c r="K17" s="1">
        <v>3620380261</v>
      </c>
      <c r="L17" s="1">
        <v>258772</v>
      </c>
      <c r="M17" s="1">
        <v>0</v>
      </c>
      <c r="N17" s="1">
        <v>0</v>
      </c>
      <c r="O17" s="1">
        <v>3607298048</v>
      </c>
      <c r="P17" s="1">
        <v>880688</v>
      </c>
      <c r="Q17" s="1">
        <v>110637</v>
      </c>
      <c r="R17" s="1">
        <v>1148160</v>
      </c>
    </row>
    <row r="18" spans="1:18" x14ac:dyDescent="0.25">
      <c r="A18" s="1">
        <v>2</v>
      </c>
      <c r="B18" s="1">
        <v>4</v>
      </c>
      <c r="C18" s="1">
        <v>37</v>
      </c>
      <c r="D18" s="1">
        <v>51</v>
      </c>
      <c r="E18" s="1">
        <v>35735</v>
      </c>
      <c r="F18" s="1">
        <v>4312604672</v>
      </c>
      <c r="G18" s="1">
        <v>0</v>
      </c>
      <c r="H18" s="1">
        <v>6</v>
      </c>
      <c r="I18" s="1">
        <v>0</v>
      </c>
      <c r="J18" s="1">
        <v>785.65960378732711</v>
      </c>
      <c r="K18" s="1">
        <v>3505597157</v>
      </c>
      <c r="L18" s="1">
        <v>287594</v>
      </c>
      <c r="M18" s="1">
        <v>0</v>
      </c>
      <c r="N18" s="1">
        <v>0</v>
      </c>
      <c r="O18" s="1">
        <v>3494035456</v>
      </c>
      <c r="P18" s="1">
        <v>853036</v>
      </c>
      <c r="Q18" s="1">
        <v>144395</v>
      </c>
      <c r="R18" s="1">
        <v>1149074</v>
      </c>
    </row>
    <row r="19" spans="1:18" x14ac:dyDescent="0.25">
      <c r="A19" s="1">
        <v>3</v>
      </c>
      <c r="B19" s="1">
        <v>4</v>
      </c>
      <c r="C19" s="1">
        <v>36</v>
      </c>
      <c r="D19" s="1">
        <v>57</v>
      </c>
      <c r="E19" s="1">
        <v>35889</v>
      </c>
      <c r="F19" s="1">
        <v>4312604672</v>
      </c>
      <c r="G19" s="1">
        <v>0</v>
      </c>
      <c r="H19" s="1">
        <v>6</v>
      </c>
      <c r="I19" s="1">
        <v>0</v>
      </c>
      <c r="J19" s="1">
        <v>771.69023111036734</v>
      </c>
      <c r="K19" s="1">
        <v>3458213822</v>
      </c>
      <c r="L19" s="1">
        <v>296649</v>
      </c>
      <c r="M19" s="1">
        <v>0</v>
      </c>
      <c r="N19" s="1">
        <v>0</v>
      </c>
      <c r="O19" s="1">
        <v>3446923264</v>
      </c>
      <c r="P19" s="1">
        <v>841534</v>
      </c>
      <c r="Q19" s="1">
        <v>162476</v>
      </c>
      <c r="R19" s="1">
        <v>1146735</v>
      </c>
    </row>
    <row r="20" spans="1:18" x14ac:dyDescent="0.25">
      <c r="A20" s="1" t="s">
        <v>33</v>
      </c>
      <c r="B20" s="1">
        <f t="shared" ref="B20:R20" si="2">AVERAGE(B17:B19)</f>
        <v>4</v>
      </c>
      <c r="C20" s="1">
        <f t="shared" si="2"/>
        <v>36.333333333333336</v>
      </c>
      <c r="D20" s="1">
        <f t="shared" si="2"/>
        <v>55.333333333333336</v>
      </c>
      <c r="E20" s="1">
        <f t="shared" si="2"/>
        <v>36064</v>
      </c>
      <c r="F20" s="1">
        <f t="shared" si="2"/>
        <v>4312604672</v>
      </c>
      <c r="G20" s="1">
        <f t="shared" si="2"/>
        <v>0</v>
      </c>
      <c r="H20" s="1">
        <f t="shared" si="2"/>
        <v>6</v>
      </c>
      <c r="I20" s="1">
        <f t="shared" si="2"/>
        <v>0</v>
      </c>
      <c r="J20" s="1">
        <f t="shared" si="2"/>
        <v>783.40309442390753</v>
      </c>
      <c r="K20" s="1">
        <f t="shared" si="2"/>
        <v>3528063746.6666665</v>
      </c>
      <c r="L20" s="1">
        <f t="shared" si="2"/>
        <v>281005</v>
      </c>
      <c r="M20" s="1">
        <f t="shared" si="2"/>
        <v>0</v>
      </c>
      <c r="N20" s="1">
        <f t="shared" si="2"/>
        <v>0</v>
      </c>
      <c r="O20" s="1">
        <f t="shared" si="2"/>
        <v>3516085589.3333335</v>
      </c>
      <c r="P20" s="1">
        <f t="shared" si="2"/>
        <v>858419.33333333337</v>
      </c>
      <c r="Q20" s="1">
        <f t="shared" si="2"/>
        <v>139169.33333333334</v>
      </c>
      <c r="R20" s="1">
        <f t="shared" si="2"/>
        <v>1147989.6666666667</v>
      </c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17</v>
      </c>
      <c r="B22" s="1">
        <v>8192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 s="1" t="s">
        <v>21</v>
      </c>
      <c r="E23" s="1" t="s">
        <v>3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  <c r="N23" s="1" t="s">
        <v>30</v>
      </c>
      <c r="O23" s="1" t="s">
        <v>31</v>
      </c>
      <c r="P23" s="1" t="s">
        <v>32</v>
      </c>
      <c r="Q23" s="1" t="s">
        <v>4</v>
      </c>
      <c r="R23" s="1" t="s">
        <v>5</v>
      </c>
    </row>
    <row r="24" spans="1:18" x14ac:dyDescent="0.25">
      <c r="A24" s="1">
        <v>1</v>
      </c>
      <c r="B24" s="1">
        <v>4</v>
      </c>
      <c r="C24" s="1">
        <v>39</v>
      </c>
      <c r="D24" s="1">
        <v>39</v>
      </c>
      <c r="E24" s="1">
        <v>52212</v>
      </c>
      <c r="F24" s="1">
        <v>8607571968</v>
      </c>
      <c r="G24" s="1">
        <v>0</v>
      </c>
      <c r="H24" s="1">
        <v>6</v>
      </c>
      <c r="I24" s="1">
        <v>0</v>
      </c>
      <c r="J24" s="1">
        <v>580.71187687117867</v>
      </c>
      <c r="K24" s="1">
        <v>3786972684</v>
      </c>
      <c r="L24" s="1">
        <v>1284077</v>
      </c>
      <c r="M24" s="1">
        <v>0</v>
      </c>
      <c r="N24" s="1">
        <v>0</v>
      </c>
      <c r="O24" s="1">
        <v>3765673984</v>
      </c>
      <c r="P24" s="1">
        <v>919354</v>
      </c>
      <c r="Q24" s="1">
        <v>94305</v>
      </c>
      <c r="R24" s="1">
        <v>2211328</v>
      </c>
    </row>
    <row r="25" spans="1:18" x14ac:dyDescent="0.25">
      <c r="A25" s="1">
        <v>2</v>
      </c>
      <c r="B25" s="1">
        <v>4</v>
      </c>
      <c r="C25" s="1">
        <v>36</v>
      </c>
      <c r="D25" s="1">
        <v>40</v>
      </c>
      <c r="E25" s="1">
        <v>52120</v>
      </c>
      <c r="F25" s="1">
        <v>8607571968</v>
      </c>
      <c r="G25" s="1">
        <v>0</v>
      </c>
      <c r="H25" s="1">
        <v>6</v>
      </c>
      <c r="I25" s="1">
        <v>0</v>
      </c>
      <c r="J25" s="1">
        <v>592.79682466784425</v>
      </c>
      <c r="K25" s="1">
        <v>3859191317</v>
      </c>
      <c r="L25" s="1">
        <v>1266248</v>
      </c>
      <c r="M25" s="1">
        <v>0</v>
      </c>
      <c r="N25" s="1">
        <v>0</v>
      </c>
      <c r="O25" s="1">
        <v>3838062592</v>
      </c>
      <c r="P25" s="1">
        <v>937027</v>
      </c>
      <c r="Q25" s="1">
        <v>133986</v>
      </c>
      <c r="R25" s="1">
        <v>2211133</v>
      </c>
    </row>
    <row r="26" spans="1:18" x14ac:dyDescent="0.25">
      <c r="A26" s="1">
        <v>3</v>
      </c>
      <c r="B26" s="1">
        <v>4</v>
      </c>
      <c r="C26" s="1">
        <v>36</v>
      </c>
      <c r="D26" s="1">
        <v>79</v>
      </c>
      <c r="E26" s="1">
        <v>52236</v>
      </c>
      <c r="F26" s="1">
        <v>8607571968</v>
      </c>
      <c r="G26" s="1">
        <v>0</v>
      </c>
      <c r="H26" s="1">
        <v>6</v>
      </c>
      <c r="I26" s="1">
        <v>0</v>
      </c>
      <c r="J26" s="1">
        <v>565.9282222222223</v>
      </c>
      <c r="K26" s="1">
        <v>3692469240</v>
      </c>
      <c r="L26" s="1">
        <v>1306554</v>
      </c>
      <c r="M26" s="1">
        <v>0</v>
      </c>
      <c r="N26" s="1">
        <v>0</v>
      </c>
      <c r="O26" s="1">
        <v>3670573056</v>
      </c>
      <c r="P26" s="1">
        <v>896136</v>
      </c>
      <c r="Q26" s="1">
        <v>214973</v>
      </c>
      <c r="R26" s="1">
        <v>2212222</v>
      </c>
    </row>
    <row r="27" spans="1:18" x14ac:dyDescent="0.25">
      <c r="A27" s="1" t="s">
        <v>33</v>
      </c>
      <c r="B27" s="1">
        <f t="shared" ref="B27:R27" si="3">AVERAGE(B24:B26)</f>
        <v>4</v>
      </c>
      <c r="C27" s="1">
        <f t="shared" si="3"/>
        <v>37</v>
      </c>
      <c r="D27" s="1">
        <f t="shared" si="3"/>
        <v>52.666666666666664</v>
      </c>
      <c r="E27" s="1">
        <f t="shared" si="3"/>
        <v>52189.333333333336</v>
      </c>
      <c r="F27" s="1">
        <f t="shared" si="3"/>
        <v>8607571968</v>
      </c>
      <c r="G27" s="1">
        <f t="shared" si="3"/>
        <v>0</v>
      </c>
      <c r="H27" s="1">
        <f t="shared" si="3"/>
        <v>6</v>
      </c>
      <c r="I27" s="1">
        <f t="shared" si="3"/>
        <v>0</v>
      </c>
      <c r="J27" s="1">
        <f t="shared" si="3"/>
        <v>579.81230792041504</v>
      </c>
      <c r="K27" s="1">
        <f t="shared" si="3"/>
        <v>3779544413.6666665</v>
      </c>
      <c r="L27" s="1">
        <f t="shared" si="3"/>
        <v>1285626.3333333333</v>
      </c>
      <c r="M27" s="1">
        <f t="shared" si="3"/>
        <v>0</v>
      </c>
      <c r="N27" s="1">
        <f t="shared" si="3"/>
        <v>0</v>
      </c>
      <c r="O27" s="1">
        <f t="shared" si="3"/>
        <v>3758103210.6666665</v>
      </c>
      <c r="P27" s="1">
        <f t="shared" si="3"/>
        <v>917505.66666666663</v>
      </c>
      <c r="Q27" s="1">
        <f t="shared" si="3"/>
        <v>147754.66666666666</v>
      </c>
      <c r="R27" s="1">
        <f t="shared" si="3"/>
        <v>2211561</v>
      </c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 t="s">
        <v>17</v>
      </c>
      <c r="B29" s="1">
        <v>12288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 s="1" t="s">
        <v>21</v>
      </c>
      <c r="E30" s="1" t="s">
        <v>3</v>
      </c>
      <c r="F30" s="1" t="s">
        <v>22</v>
      </c>
      <c r="G30" s="1" t="s">
        <v>23</v>
      </c>
      <c r="H30" s="1" t="s">
        <v>24</v>
      </c>
      <c r="I30" s="1" t="s">
        <v>25</v>
      </c>
      <c r="J30" s="1" t="s">
        <v>26</v>
      </c>
      <c r="K30" s="1" t="s">
        <v>27</v>
      </c>
      <c r="L30" s="1" t="s">
        <v>28</v>
      </c>
      <c r="M30" s="1" t="s">
        <v>29</v>
      </c>
      <c r="N30" s="1" t="s">
        <v>30</v>
      </c>
      <c r="O30" s="1" t="s">
        <v>31</v>
      </c>
      <c r="P30" s="1" t="s">
        <v>32</v>
      </c>
      <c r="Q30" s="1" t="s">
        <v>4</v>
      </c>
      <c r="R30" s="1" t="s">
        <v>5</v>
      </c>
    </row>
    <row r="31" spans="1:18" x14ac:dyDescent="0.25">
      <c r="A31" s="1">
        <v>1</v>
      </c>
      <c r="B31" s="1">
        <v>4</v>
      </c>
      <c r="C31" s="1">
        <v>39</v>
      </c>
      <c r="D31" s="1">
        <v>73</v>
      </c>
      <c r="E31" s="1">
        <v>67776</v>
      </c>
      <c r="F31" s="1">
        <v>12902539264</v>
      </c>
      <c r="G31" s="1">
        <v>0</v>
      </c>
      <c r="H31" s="1">
        <v>6</v>
      </c>
      <c r="I31" s="1">
        <v>0</v>
      </c>
      <c r="J31" s="1">
        <v>480.85460495740881</v>
      </c>
      <c r="K31" s="1">
        <v>4071243637</v>
      </c>
      <c r="L31" s="1">
        <v>2275294</v>
      </c>
      <c r="M31" s="1">
        <v>0</v>
      </c>
      <c r="N31" s="1">
        <v>0</v>
      </c>
      <c r="O31" s="1">
        <v>4040683520</v>
      </c>
      <c r="P31" s="1">
        <v>986495</v>
      </c>
      <c r="Q31" s="1">
        <v>106773</v>
      </c>
      <c r="R31" s="1">
        <v>3269998</v>
      </c>
    </row>
    <row r="32" spans="1:18" x14ac:dyDescent="0.25">
      <c r="A32" s="1">
        <v>2</v>
      </c>
      <c r="B32" s="1">
        <v>4</v>
      </c>
      <c r="C32" s="1">
        <v>38</v>
      </c>
      <c r="D32" s="1">
        <v>98</v>
      </c>
      <c r="E32" s="1">
        <v>67448</v>
      </c>
      <c r="F32" s="1">
        <v>12902539264</v>
      </c>
      <c r="G32" s="1">
        <v>0</v>
      </c>
      <c r="H32" s="1">
        <v>6</v>
      </c>
      <c r="I32" s="1">
        <v>0</v>
      </c>
      <c r="J32" s="1">
        <v>468.47686052514462</v>
      </c>
      <c r="K32" s="1">
        <v>3947290736</v>
      </c>
      <c r="L32" s="1">
        <v>2299978</v>
      </c>
      <c r="M32" s="1">
        <v>0</v>
      </c>
      <c r="N32" s="1">
        <v>0</v>
      </c>
      <c r="O32" s="1">
        <v>3916488704</v>
      </c>
      <c r="P32" s="1">
        <v>956174</v>
      </c>
      <c r="Q32" s="1">
        <v>182900</v>
      </c>
      <c r="R32" s="1">
        <v>3264414</v>
      </c>
    </row>
    <row r="33" spans="1:18" x14ac:dyDescent="0.25">
      <c r="A33" s="1">
        <v>3</v>
      </c>
      <c r="B33" s="1">
        <v>5</v>
      </c>
      <c r="C33" s="1">
        <v>40</v>
      </c>
      <c r="D33" s="1">
        <v>63</v>
      </c>
      <c r="E33" s="1">
        <v>67619</v>
      </c>
      <c r="F33" s="1">
        <v>12902539264</v>
      </c>
      <c r="G33" s="1">
        <v>0</v>
      </c>
      <c r="H33" s="1">
        <v>7</v>
      </c>
      <c r="I33" s="1">
        <v>0</v>
      </c>
      <c r="J33" s="1">
        <v>455.31402536290858</v>
      </c>
      <c r="K33" s="1">
        <v>3845995879</v>
      </c>
      <c r="L33" s="1">
        <v>2321653</v>
      </c>
      <c r="M33" s="1">
        <v>0</v>
      </c>
      <c r="N33" s="1">
        <v>0</v>
      </c>
      <c r="O33" s="1">
        <v>3814207488</v>
      </c>
      <c r="P33" s="1">
        <v>931203</v>
      </c>
      <c r="Q33" s="1">
        <v>258840</v>
      </c>
      <c r="R33" s="1">
        <v>3264477</v>
      </c>
    </row>
    <row r="34" spans="1:18" x14ac:dyDescent="0.25">
      <c r="A34" s="1" t="s">
        <v>33</v>
      </c>
      <c r="B34" s="1">
        <f t="shared" ref="B34:R34" si="4">AVERAGE(B31:B33)</f>
        <v>4.333333333333333</v>
      </c>
      <c r="C34" s="1">
        <f t="shared" si="4"/>
        <v>39</v>
      </c>
      <c r="D34" s="1">
        <f t="shared" si="4"/>
        <v>78</v>
      </c>
      <c r="E34" s="1">
        <f t="shared" si="4"/>
        <v>67614.333333333328</v>
      </c>
      <c r="F34" s="1">
        <f t="shared" si="4"/>
        <v>12902539264</v>
      </c>
      <c r="G34" s="1">
        <f t="shared" si="4"/>
        <v>0</v>
      </c>
      <c r="H34" s="1">
        <f t="shared" si="4"/>
        <v>6.333333333333333</v>
      </c>
      <c r="I34" s="1">
        <f t="shared" si="4"/>
        <v>0</v>
      </c>
      <c r="J34" s="1">
        <f t="shared" si="4"/>
        <v>468.21516361515404</v>
      </c>
      <c r="K34" s="1">
        <f t="shared" si="4"/>
        <v>3954843417.3333335</v>
      </c>
      <c r="L34" s="1">
        <f t="shared" si="4"/>
        <v>2298975</v>
      </c>
      <c r="M34" s="1">
        <f t="shared" si="4"/>
        <v>0</v>
      </c>
      <c r="N34" s="1">
        <f t="shared" si="4"/>
        <v>0</v>
      </c>
      <c r="O34" s="1">
        <f t="shared" si="4"/>
        <v>3923793237.3333335</v>
      </c>
      <c r="P34" s="1">
        <f t="shared" si="4"/>
        <v>957957.33333333337</v>
      </c>
      <c r="Q34" s="1">
        <f t="shared" si="4"/>
        <v>182837.66666666666</v>
      </c>
      <c r="R34" s="1">
        <f t="shared" si="4"/>
        <v>3266296.3333333335</v>
      </c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 t="s">
        <v>17</v>
      </c>
      <c r="B36" s="1">
        <v>16384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 s="1" t="s">
        <v>21</v>
      </c>
      <c r="E37" s="1" t="s">
        <v>3</v>
      </c>
      <c r="F37" s="1" t="s">
        <v>22</v>
      </c>
      <c r="G37" s="1" t="s">
        <v>23</v>
      </c>
      <c r="H37" s="1" t="s">
        <v>24</v>
      </c>
      <c r="I37" s="1" t="s">
        <v>25</v>
      </c>
      <c r="J37" s="1" t="s">
        <v>26</v>
      </c>
      <c r="K37" s="1" t="s">
        <v>27</v>
      </c>
      <c r="L37" s="1" t="s">
        <v>28</v>
      </c>
      <c r="M37" s="1" t="s">
        <v>29</v>
      </c>
      <c r="N37" s="1" t="s">
        <v>30</v>
      </c>
      <c r="O37" s="1" t="s">
        <v>31</v>
      </c>
      <c r="P37" s="1" t="s">
        <v>32</v>
      </c>
      <c r="Q37" s="1" t="s">
        <v>4</v>
      </c>
      <c r="R37" s="1" t="s">
        <v>5</v>
      </c>
    </row>
    <row r="38" spans="1:18" x14ac:dyDescent="0.25">
      <c r="A38" s="1">
        <v>1</v>
      </c>
      <c r="B38" s="1">
        <v>11</v>
      </c>
      <c r="C38" s="1">
        <v>39</v>
      </c>
      <c r="D38" s="1">
        <v>112</v>
      </c>
      <c r="E38" s="1">
        <v>86731</v>
      </c>
      <c r="F38" s="1">
        <v>17197506560</v>
      </c>
      <c r="G38" s="1">
        <v>0</v>
      </c>
      <c r="H38" s="1">
        <v>13</v>
      </c>
      <c r="I38" s="1">
        <v>0</v>
      </c>
      <c r="J38" s="1">
        <v>401.49272181977568</v>
      </c>
      <c r="K38" s="1">
        <v>4350563038</v>
      </c>
      <c r="L38" s="1">
        <v>3283989</v>
      </c>
      <c r="M38" s="1">
        <v>0</v>
      </c>
      <c r="N38" s="1">
        <v>0</v>
      </c>
      <c r="O38" s="1">
        <v>4300595200</v>
      </c>
      <c r="P38" s="1">
        <v>1049950</v>
      </c>
      <c r="Q38" s="1">
        <v>202312</v>
      </c>
      <c r="R38" s="1">
        <v>4351677</v>
      </c>
    </row>
    <row r="39" spans="1:18" x14ac:dyDescent="0.25">
      <c r="A39" s="1">
        <v>2</v>
      </c>
      <c r="B39" s="1">
        <v>5</v>
      </c>
      <c r="C39" s="1">
        <v>39</v>
      </c>
      <c r="D39" s="1">
        <v>100</v>
      </c>
      <c r="E39" s="1">
        <v>85749</v>
      </c>
      <c r="F39" s="1">
        <v>17197506560</v>
      </c>
      <c r="G39" s="1">
        <v>0</v>
      </c>
      <c r="H39" s="1">
        <v>7</v>
      </c>
      <c r="I39" s="1">
        <v>0</v>
      </c>
      <c r="J39" s="1">
        <v>421.40624300548359</v>
      </c>
      <c r="K39" s="1">
        <v>4514628700</v>
      </c>
      <c r="L39" s="1">
        <v>3226611</v>
      </c>
      <c r="M39" s="1">
        <v>0</v>
      </c>
      <c r="N39" s="1">
        <v>0</v>
      </c>
      <c r="O39" s="1">
        <v>4471783424</v>
      </c>
      <c r="P39" s="1">
        <v>1091744</v>
      </c>
      <c r="Q39" s="1">
        <v>177891</v>
      </c>
      <c r="R39" s="1">
        <v>4327620</v>
      </c>
    </row>
    <row r="40" spans="1:18" x14ac:dyDescent="0.25">
      <c r="A40" s="1">
        <v>3</v>
      </c>
      <c r="B40" s="1">
        <v>5</v>
      </c>
      <c r="C40" s="1">
        <v>41</v>
      </c>
      <c r="D40" s="1">
        <v>122</v>
      </c>
      <c r="E40" s="1">
        <v>86729</v>
      </c>
      <c r="F40" s="1">
        <v>17197506560</v>
      </c>
      <c r="G40" s="1">
        <v>0</v>
      </c>
      <c r="H40" s="1">
        <v>7</v>
      </c>
      <c r="I40" s="1">
        <v>0</v>
      </c>
      <c r="J40" s="1">
        <v>390.65533868586198</v>
      </c>
      <c r="K40" s="1">
        <v>4232928814</v>
      </c>
      <c r="L40" s="1">
        <v>3304879</v>
      </c>
      <c r="M40" s="1">
        <v>0</v>
      </c>
      <c r="N40" s="1">
        <v>0</v>
      </c>
      <c r="O40" s="1">
        <v>4190281728</v>
      </c>
      <c r="P40" s="1">
        <v>1023018</v>
      </c>
      <c r="Q40" s="1">
        <v>241090</v>
      </c>
      <c r="R40" s="1">
        <v>4339288</v>
      </c>
    </row>
    <row r="41" spans="1:18" x14ac:dyDescent="0.25">
      <c r="A41" s="1" t="s">
        <v>33</v>
      </c>
      <c r="B41" s="1">
        <f t="shared" ref="B41:R41" si="5">AVERAGE(B38:B40)</f>
        <v>7</v>
      </c>
      <c r="C41" s="1">
        <f t="shared" si="5"/>
        <v>39.666666666666664</v>
      </c>
      <c r="D41" s="1">
        <f t="shared" si="5"/>
        <v>111.33333333333333</v>
      </c>
      <c r="E41" s="1">
        <f t="shared" si="5"/>
        <v>86403</v>
      </c>
      <c r="F41" s="1">
        <f t="shared" si="5"/>
        <v>17197506560</v>
      </c>
      <c r="G41" s="1">
        <f t="shared" si="5"/>
        <v>0</v>
      </c>
      <c r="H41" s="1">
        <f t="shared" si="5"/>
        <v>9</v>
      </c>
      <c r="I41" s="1">
        <f t="shared" si="5"/>
        <v>0</v>
      </c>
      <c r="J41" s="1">
        <f t="shared" si="5"/>
        <v>404.51810117037377</v>
      </c>
      <c r="K41" s="1">
        <f t="shared" si="5"/>
        <v>4366040184</v>
      </c>
      <c r="L41" s="1">
        <f t="shared" si="5"/>
        <v>3271826.3333333335</v>
      </c>
      <c r="M41" s="1">
        <f t="shared" si="5"/>
        <v>0</v>
      </c>
      <c r="N41" s="1">
        <f t="shared" si="5"/>
        <v>0</v>
      </c>
      <c r="O41" s="1">
        <f t="shared" si="5"/>
        <v>4320886784</v>
      </c>
      <c r="P41" s="1">
        <f t="shared" si="5"/>
        <v>1054904</v>
      </c>
      <c r="Q41" s="1">
        <f t="shared" si="5"/>
        <v>207097.66666666666</v>
      </c>
      <c r="R41" s="1">
        <f t="shared" si="5"/>
        <v>4339528.333333333</v>
      </c>
    </row>
    <row r="42" spans="1:1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2"/>
  <sheetViews>
    <sheetView workbookViewId="0"/>
  </sheetViews>
  <sheetFormatPr defaultRowHeight="15" x14ac:dyDescent="0.25"/>
  <cols>
    <col min="1" max="1" width="12" customWidth="1"/>
    <col min="2" max="6" width="19" customWidth="1"/>
    <col min="7" max="7" width="23" customWidth="1"/>
    <col min="8" max="8" width="22" customWidth="1"/>
    <col min="9" max="12" width="19" customWidth="1"/>
    <col min="13" max="13" width="22" customWidth="1"/>
    <col min="14" max="16" width="19" customWidth="1"/>
    <col min="17" max="17" width="24" customWidth="1"/>
    <col min="18" max="18" width="30" customWidth="1"/>
  </cols>
  <sheetData>
    <row r="1" spans="1:18" x14ac:dyDescent="0.25">
      <c r="A1" s="1" t="s">
        <v>17</v>
      </c>
      <c r="B1" s="1">
        <v>1024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3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4</v>
      </c>
      <c r="R2" s="1" t="s">
        <v>5</v>
      </c>
    </row>
    <row r="3" spans="1:18" x14ac:dyDescent="0.25">
      <c r="A3" s="1">
        <v>1</v>
      </c>
      <c r="B3" s="1">
        <v>2</v>
      </c>
      <c r="C3" s="1">
        <v>2</v>
      </c>
      <c r="D3" s="1">
        <v>109</v>
      </c>
      <c r="E3" s="1">
        <v>6511</v>
      </c>
      <c r="F3" s="1">
        <v>1091379200</v>
      </c>
      <c r="G3" s="1">
        <v>0</v>
      </c>
      <c r="H3" s="1">
        <v>4</v>
      </c>
      <c r="I3" s="1">
        <v>0</v>
      </c>
      <c r="J3" s="1">
        <v>833.44842894453836</v>
      </c>
      <c r="K3" s="1">
        <v>677902120</v>
      </c>
      <c r="L3" s="1">
        <v>8811</v>
      </c>
      <c r="M3" s="1">
        <v>0</v>
      </c>
      <c r="N3" s="1">
        <v>0</v>
      </c>
      <c r="O3" s="1">
        <v>32768</v>
      </c>
      <c r="P3" s="1">
        <v>8</v>
      </c>
      <c r="Q3" s="1">
        <v>16431</v>
      </c>
      <c r="R3" s="1">
        <v>275745</v>
      </c>
    </row>
    <row r="4" spans="1:18" x14ac:dyDescent="0.25">
      <c r="A4" s="1">
        <v>2</v>
      </c>
      <c r="B4" s="1">
        <v>2</v>
      </c>
      <c r="C4" s="1">
        <v>3</v>
      </c>
      <c r="D4" s="1">
        <v>489</v>
      </c>
      <c r="E4" s="1">
        <v>6754</v>
      </c>
      <c r="F4" s="1">
        <v>1091379200</v>
      </c>
      <c r="G4" s="1">
        <v>0</v>
      </c>
      <c r="H4" s="1">
        <v>4</v>
      </c>
      <c r="I4" s="1">
        <v>0</v>
      </c>
      <c r="J4" s="1">
        <v>795.33540038512808</v>
      </c>
      <c r="K4" s="1">
        <v>670951303</v>
      </c>
      <c r="L4" s="1">
        <v>11594</v>
      </c>
      <c r="M4" s="1">
        <v>0</v>
      </c>
      <c r="N4" s="1">
        <v>0</v>
      </c>
      <c r="O4" s="1">
        <v>32768</v>
      </c>
      <c r="P4" s="1">
        <v>8</v>
      </c>
      <c r="Q4" s="1">
        <v>13706</v>
      </c>
      <c r="R4" s="1">
        <v>276081</v>
      </c>
    </row>
    <row r="5" spans="1:18" x14ac:dyDescent="0.25">
      <c r="A5" s="1">
        <v>3</v>
      </c>
      <c r="B5" s="1">
        <v>2</v>
      </c>
      <c r="C5" s="1">
        <v>2</v>
      </c>
      <c r="D5" s="1">
        <v>131</v>
      </c>
      <c r="E5" s="1">
        <v>6769</v>
      </c>
      <c r="F5" s="1">
        <v>1091379200</v>
      </c>
      <c r="G5" s="1">
        <v>0</v>
      </c>
      <c r="H5" s="1">
        <v>4</v>
      </c>
      <c r="I5" s="1">
        <v>0</v>
      </c>
      <c r="J5" s="1">
        <v>806.43261356583423</v>
      </c>
      <c r="K5" s="1">
        <v>681928829</v>
      </c>
      <c r="L5" s="1">
        <v>11765</v>
      </c>
      <c r="M5" s="1">
        <v>0</v>
      </c>
      <c r="N5" s="1">
        <v>0</v>
      </c>
      <c r="O5" s="1">
        <v>32768</v>
      </c>
      <c r="P5" s="1">
        <v>8</v>
      </c>
      <c r="Q5" s="1">
        <v>18264</v>
      </c>
      <c r="R5" s="1">
        <v>278890</v>
      </c>
    </row>
    <row r="6" spans="1:18" x14ac:dyDescent="0.25">
      <c r="A6" s="1" t="s">
        <v>33</v>
      </c>
      <c r="B6" s="1">
        <f t="shared" ref="B6:R6" si="0">AVERAGE(B3:B5)</f>
        <v>2</v>
      </c>
      <c r="C6" s="1">
        <f t="shared" si="0"/>
        <v>2.3333333333333335</v>
      </c>
      <c r="D6" s="1">
        <f t="shared" si="0"/>
        <v>243</v>
      </c>
      <c r="E6" s="1">
        <f t="shared" si="0"/>
        <v>6678</v>
      </c>
      <c r="F6" s="1">
        <f t="shared" si="0"/>
        <v>1091379200</v>
      </c>
      <c r="G6" s="1">
        <f t="shared" si="0"/>
        <v>0</v>
      </c>
      <c r="H6" s="1">
        <f t="shared" si="0"/>
        <v>4</v>
      </c>
      <c r="I6" s="1">
        <f t="shared" si="0"/>
        <v>0</v>
      </c>
      <c r="J6" s="1">
        <f t="shared" si="0"/>
        <v>811.73881429850019</v>
      </c>
      <c r="K6" s="1">
        <f t="shared" si="0"/>
        <v>676927417.33333337</v>
      </c>
      <c r="L6" s="1">
        <f t="shared" si="0"/>
        <v>10723.333333333334</v>
      </c>
      <c r="M6" s="1">
        <f t="shared" si="0"/>
        <v>0</v>
      </c>
      <c r="N6" s="1">
        <f t="shared" si="0"/>
        <v>0</v>
      </c>
      <c r="O6" s="1">
        <f t="shared" si="0"/>
        <v>32768</v>
      </c>
      <c r="P6" s="1">
        <f t="shared" si="0"/>
        <v>8</v>
      </c>
      <c r="Q6" s="1">
        <f t="shared" si="0"/>
        <v>16133.666666666666</v>
      </c>
      <c r="R6" s="1">
        <f t="shared" si="0"/>
        <v>276905.33333333331</v>
      </c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 t="s">
        <v>17</v>
      </c>
      <c r="B8" s="1">
        <v>2048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3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28</v>
      </c>
      <c r="M9" s="1" t="s">
        <v>29</v>
      </c>
      <c r="N9" s="1" t="s">
        <v>30</v>
      </c>
      <c r="O9" s="1" t="s">
        <v>31</v>
      </c>
      <c r="P9" s="1" t="s">
        <v>32</v>
      </c>
      <c r="Q9" s="1" t="s">
        <v>4</v>
      </c>
      <c r="R9" s="1" t="s">
        <v>5</v>
      </c>
    </row>
    <row r="10" spans="1:18" x14ac:dyDescent="0.25">
      <c r="A10" s="1">
        <v>1</v>
      </c>
      <c r="B10" s="1">
        <v>3</v>
      </c>
      <c r="C10" s="1">
        <v>2</v>
      </c>
      <c r="D10" s="1">
        <v>48</v>
      </c>
      <c r="E10" s="1">
        <v>14239</v>
      </c>
      <c r="F10" s="1">
        <v>2165121024</v>
      </c>
      <c r="G10" s="1">
        <v>0</v>
      </c>
      <c r="H10" s="1">
        <v>5</v>
      </c>
      <c r="I10" s="1">
        <v>0</v>
      </c>
      <c r="J10" s="1">
        <v>829.18087911779162</v>
      </c>
      <c r="K10" s="1">
        <v>1475418638</v>
      </c>
      <c r="L10" s="1">
        <v>11640</v>
      </c>
      <c r="M10" s="1">
        <v>0</v>
      </c>
      <c r="N10" s="1">
        <v>0</v>
      </c>
      <c r="O10" s="1">
        <v>28672</v>
      </c>
      <c r="P10" s="1">
        <v>7</v>
      </c>
      <c r="Q10" s="1">
        <v>46295</v>
      </c>
      <c r="R10" s="1">
        <v>561669</v>
      </c>
    </row>
    <row r="11" spans="1:18" x14ac:dyDescent="0.25">
      <c r="A11" s="1">
        <v>2</v>
      </c>
      <c r="B11" s="1">
        <v>3</v>
      </c>
      <c r="C11" s="1">
        <v>2</v>
      </c>
      <c r="D11" s="1">
        <v>94</v>
      </c>
      <c r="E11" s="1">
        <v>14290</v>
      </c>
      <c r="F11" s="1">
        <v>2165121024</v>
      </c>
      <c r="G11" s="1">
        <v>0</v>
      </c>
      <c r="H11" s="1">
        <v>5</v>
      </c>
      <c r="I11" s="1">
        <v>0</v>
      </c>
      <c r="J11" s="1">
        <v>823.00147144456878</v>
      </c>
      <c r="K11" s="1">
        <v>1469668244</v>
      </c>
      <c r="L11" s="1">
        <v>11877</v>
      </c>
      <c r="M11" s="1">
        <v>0</v>
      </c>
      <c r="N11" s="1">
        <v>0</v>
      </c>
      <c r="O11" s="1">
        <v>28672</v>
      </c>
      <c r="P11" s="1">
        <v>7</v>
      </c>
      <c r="Q11" s="1">
        <v>39392</v>
      </c>
      <c r="R11" s="1">
        <v>561247</v>
      </c>
    </row>
    <row r="12" spans="1:18" x14ac:dyDescent="0.25">
      <c r="A12" s="1">
        <v>3</v>
      </c>
      <c r="B12" s="1">
        <v>3</v>
      </c>
      <c r="C12" s="1">
        <v>3</v>
      </c>
      <c r="D12" s="1">
        <v>30</v>
      </c>
      <c r="E12" s="1">
        <v>14399</v>
      </c>
      <c r="F12" s="1">
        <v>2165121024</v>
      </c>
      <c r="G12" s="1">
        <v>0</v>
      </c>
      <c r="H12" s="1">
        <v>5</v>
      </c>
      <c r="I12" s="1">
        <v>0</v>
      </c>
      <c r="J12" s="1">
        <v>816.11663017504861</v>
      </c>
      <c r="K12" s="1">
        <v>1468389492</v>
      </c>
      <c r="L12" s="1">
        <v>11796</v>
      </c>
      <c r="M12" s="1">
        <v>0</v>
      </c>
      <c r="N12" s="1">
        <v>0</v>
      </c>
      <c r="O12" s="1">
        <v>28672</v>
      </c>
      <c r="P12" s="1">
        <v>7</v>
      </c>
      <c r="Q12" s="1">
        <v>29088</v>
      </c>
      <c r="R12" s="1">
        <v>560692</v>
      </c>
    </row>
    <row r="13" spans="1:18" x14ac:dyDescent="0.25">
      <c r="A13" s="1" t="s">
        <v>33</v>
      </c>
      <c r="B13" s="1">
        <f t="shared" ref="B13:R13" si="1">AVERAGE(B10:B12)</f>
        <v>3</v>
      </c>
      <c r="C13" s="1">
        <f t="shared" si="1"/>
        <v>2.3333333333333335</v>
      </c>
      <c r="D13" s="1">
        <f t="shared" si="1"/>
        <v>57.333333333333336</v>
      </c>
      <c r="E13" s="1">
        <f t="shared" si="1"/>
        <v>14309.333333333334</v>
      </c>
      <c r="F13" s="1">
        <f t="shared" si="1"/>
        <v>2165121024</v>
      </c>
      <c r="G13" s="1">
        <f t="shared" si="1"/>
        <v>0</v>
      </c>
      <c r="H13" s="1">
        <f t="shared" si="1"/>
        <v>5</v>
      </c>
      <c r="I13" s="1">
        <f t="shared" si="1"/>
        <v>0</v>
      </c>
      <c r="J13" s="1">
        <f t="shared" si="1"/>
        <v>822.76632691246959</v>
      </c>
      <c r="K13" s="1">
        <f t="shared" si="1"/>
        <v>1471158791.3333333</v>
      </c>
      <c r="L13" s="1">
        <f t="shared" si="1"/>
        <v>11771</v>
      </c>
      <c r="M13" s="1">
        <f t="shared" si="1"/>
        <v>0</v>
      </c>
      <c r="N13" s="1">
        <f t="shared" si="1"/>
        <v>0</v>
      </c>
      <c r="O13" s="1">
        <f t="shared" si="1"/>
        <v>28672</v>
      </c>
      <c r="P13" s="1">
        <f t="shared" si="1"/>
        <v>7</v>
      </c>
      <c r="Q13" s="1">
        <f t="shared" si="1"/>
        <v>38258.333333333336</v>
      </c>
      <c r="R13" s="1">
        <f t="shared" si="1"/>
        <v>561202.66666666663</v>
      </c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 t="s">
        <v>17</v>
      </c>
      <c r="B15" s="1">
        <v>4096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3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26</v>
      </c>
      <c r="K16" s="1" t="s">
        <v>27</v>
      </c>
      <c r="L16" s="1" t="s">
        <v>28</v>
      </c>
      <c r="M16" s="1" t="s">
        <v>29</v>
      </c>
      <c r="N16" s="1" t="s">
        <v>30</v>
      </c>
      <c r="O16" s="1" t="s">
        <v>31</v>
      </c>
      <c r="P16" s="1" t="s">
        <v>32</v>
      </c>
      <c r="Q16" s="1" t="s">
        <v>4</v>
      </c>
      <c r="R16" s="1" t="s">
        <v>5</v>
      </c>
    </row>
    <row r="17" spans="1:18" x14ac:dyDescent="0.25">
      <c r="A17" s="1">
        <v>1</v>
      </c>
      <c r="B17" s="1">
        <v>4</v>
      </c>
      <c r="C17" s="1">
        <v>4</v>
      </c>
      <c r="D17" s="1">
        <v>48</v>
      </c>
      <c r="E17" s="1">
        <v>25712</v>
      </c>
      <c r="F17" s="1">
        <v>4312604672</v>
      </c>
      <c r="G17" s="1">
        <v>0</v>
      </c>
      <c r="H17" s="1">
        <v>6</v>
      </c>
      <c r="I17" s="1">
        <v>0</v>
      </c>
      <c r="J17" s="1">
        <v>638.45950210051342</v>
      </c>
      <c r="K17" s="1">
        <v>2051477200</v>
      </c>
      <c r="L17" s="1">
        <v>280945</v>
      </c>
      <c r="M17" s="1">
        <v>0</v>
      </c>
      <c r="N17" s="1">
        <v>0</v>
      </c>
      <c r="O17" s="1">
        <v>28672</v>
      </c>
      <c r="P17" s="1">
        <v>7</v>
      </c>
      <c r="Q17" s="1">
        <v>94408</v>
      </c>
      <c r="R17" s="1">
        <v>1105439</v>
      </c>
    </row>
    <row r="18" spans="1:18" x14ac:dyDescent="0.25">
      <c r="A18" s="1">
        <v>2</v>
      </c>
      <c r="B18" s="1">
        <v>4</v>
      </c>
      <c r="C18" s="1">
        <v>3</v>
      </c>
      <c r="D18" s="1">
        <v>131</v>
      </c>
      <c r="E18" s="1">
        <v>25881</v>
      </c>
      <c r="F18" s="1">
        <v>4312604672</v>
      </c>
      <c r="G18" s="1">
        <v>0</v>
      </c>
      <c r="H18" s="1">
        <v>6</v>
      </c>
      <c r="I18" s="1">
        <v>0</v>
      </c>
      <c r="J18" s="1">
        <v>644.05707365329624</v>
      </c>
      <c r="K18" s="1">
        <v>2083151209</v>
      </c>
      <c r="L18" s="1">
        <v>275609</v>
      </c>
      <c r="M18" s="1">
        <v>0</v>
      </c>
      <c r="N18" s="1">
        <v>0</v>
      </c>
      <c r="O18" s="1">
        <v>28672</v>
      </c>
      <c r="P18" s="1">
        <v>7</v>
      </c>
      <c r="Q18" s="1">
        <v>127302</v>
      </c>
      <c r="R18" s="1">
        <v>1110823</v>
      </c>
    </row>
    <row r="19" spans="1:18" x14ac:dyDescent="0.25">
      <c r="A19" s="1">
        <v>3</v>
      </c>
      <c r="B19" s="1">
        <v>4</v>
      </c>
      <c r="C19" s="1">
        <v>4</v>
      </c>
      <c r="D19" s="1">
        <v>42</v>
      </c>
      <c r="E19" s="1">
        <v>25715</v>
      </c>
      <c r="F19" s="1">
        <v>4312604672</v>
      </c>
      <c r="G19" s="1">
        <v>0</v>
      </c>
      <c r="H19" s="1">
        <v>6</v>
      </c>
      <c r="I19" s="1">
        <v>0</v>
      </c>
      <c r="J19" s="1">
        <v>616.13145253004552</v>
      </c>
      <c r="K19" s="1">
        <v>1979957062</v>
      </c>
      <c r="L19" s="1">
        <v>312649</v>
      </c>
      <c r="M19" s="1">
        <v>0</v>
      </c>
      <c r="N19" s="1">
        <v>0</v>
      </c>
      <c r="O19" s="1">
        <v>28672</v>
      </c>
      <c r="P19" s="1">
        <v>7</v>
      </c>
      <c r="Q19" s="1">
        <v>118504</v>
      </c>
      <c r="R19" s="1">
        <v>1113608</v>
      </c>
    </row>
    <row r="20" spans="1:18" x14ac:dyDescent="0.25">
      <c r="A20" s="1" t="s">
        <v>33</v>
      </c>
      <c r="B20" s="1">
        <f t="shared" ref="B20:R20" si="2">AVERAGE(B17:B19)</f>
        <v>4</v>
      </c>
      <c r="C20" s="1">
        <f t="shared" si="2"/>
        <v>3.6666666666666665</v>
      </c>
      <c r="D20" s="1">
        <f t="shared" si="2"/>
        <v>73.666666666666671</v>
      </c>
      <c r="E20" s="1">
        <f t="shared" si="2"/>
        <v>25769.333333333332</v>
      </c>
      <c r="F20" s="1">
        <f t="shared" si="2"/>
        <v>4312604672</v>
      </c>
      <c r="G20" s="1">
        <f t="shared" si="2"/>
        <v>0</v>
      </c>
      <c r="H20" s="1">
        <f t="shared" si="2"/>
        <v>6</v>
      </c>
      <c r="I20" s="1">
        <f t="shared" si="2"/>
        <v>0</v>
      </c>
      <c r="J20" s="1">
        <f t="shared" si="2"/>
        <v>632.88267609461843</v>
      </c>
      <c r="K20" s="1">
        <f t="shared" si="2"/>
        <v>2038195157</v>
      </c>
      <c r="L20" s="1">
        <f t="shared" si="2"/>
        <v>289734.33333333331</v>
      </c>
      <c r="M20" s="1">
        <f t="shared" si="2"/>
        <v>0</v>
      </c>
      <c r="N20" s="1">
        <f t="shared" si="2"/>
        <v>0</v>
      </c>
      <c r="O20" s="1">
        <f t="shared" si="2"/>
        <v>28672</v>
      </c>
      <c r="P20" s="1">
        <f t="shared" si="2"/>
        <v>7</v>
      </c>
      <c r="Q20" s="1">
        <f t="shared" si="2"/>
        <v>113404.66666666667</v>
      </c>
      <c r="R20" s="1">
        <f t="shared" si="2"/>
        <v>1109956.6666666667</v>
      </c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17</v>
      </c>
      <c r="B22" s="1">
        <v>8192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 s="1" t="s">
        <v>21</v>
      </c>
      <c r="E23" s="1" t="s">
        <v>3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  <c r="N23" s="1" t="s">
        <v>30</v>
      </c>
      <c r="O23" s="1" t="s">
        <v>31</v>
      </c>
      <c r="P23" s="1" t="s">
        <v>32</v>
      </c>
      <c r="Q23" s="1" t="s">
        <v>4</v>
      </c>
      <c r="R23" s="1" t="s">
        <v>5</v>
      </c>
    </row>
    <row r="24" spans="1:18" x14ac:dyDescent="0.25">
      <c r="A24" s="1">
        <v>1</v>
      </c>
      <c r="B24" s="1">
        <v>4</v>
      </c>
      <c r="C24" s="1">
        <v>6</v>
      </c>
      <c r="D24" s="1">
        <v>105</v>
      </c>
      <c r="E24" s="1">
        <v>43260</v>
      </c>
      <c r="F24" s="1">
        <v>8607571968</v>
      </c>
      <c r="G24" s="1">
        <v>0</v>
      </c>
      <c r="H24" s="1">
        <v>6</v>
      </c>
      <c r="I24" s="1">
        <v>0</v>
      </c>
      <c r="J24" s="1">
        <v>408.72469801636839</v>
      </c>
      <c r="K24" s="1">
        <v>2209659601</v>
      </c>
      <c r="L24" s="1">
        <v>1281681</v>
      </c>
      <c r="M24" s="1">
        <v>0</v>
      </c>
      <c r="N24" s="1">
        <v>0</v>
      </c>
      <c r="O24" s="1">
        <v>53248</v>
      </c>
      <c r="P24" s="1">
        <v>13</v>
      </c>
      <c r="Q24" s="1">
        <v>169656</v>
      </c>
      <c r="R24" s="1">
        <v>2178371</v>
      </c>
    </row>
    <row r="25" spans="1:18" x14ac:dyDescent="0.25">
      <c r="A25" s="1">
        <v>2</v>
      </c>
      <c r="B25" s="1">
        <v>4</v>
      </c>
      <c r="C25" s="1">
        <v>6</v>
      </c>
      <c r="D25" s="1">
        <v>72</v>
      </c>
      <c r="E25" s="1">
        <v>43587</v>
      </c>
      <c r="F25" s="1">
        <v>8607571968</v>
      </c>
      <c r="G25" s="1">
        <v>0</v>
      </c>
      <c r="H25" s="1">
        <v>6</v>
      </c>
      <c r="I25" s="1">
        <v>0</v>
      </c>
      <c r="J25" s="1">
        <v>407.96539648011748</v>
      </c>
      <c r="K25" s="1">
        <v>2222230083</v>
      </c>
      <c r="L25" s="1">
        <v>1277285</v>
      </c>
      <c r="M25" s="1">
        <v>0</v>
      </c>
      <c r="N25" s="1">
        <v>0</v>
      </c>
      <c r="O25" s="1">
        <v>28672</v>
      </c>
      <c r="P25" s="1">
        <v>7</v>
      </c>
      <c r="Q25" s="1">
        <v>145050</v>
      </c>
      <c r="R25" s="1">
        <v>2172796</v>
      </c>
    </row>
    <row r="26" spans="1:18" x14ac:dyDescent="0.25">
      <c r="A26" s="1">
        <v>3</v>
      </c>
      <c r="B26" s="1">
        <v>4</v>
      </c>
      <c r="C26" s="1">
        <v>5</v>
      </c>
      <c r="D26" s="1">
        <v>88</v>
      </c>
      <c r="E26" s="1">
        <v>43390</v>
      </c>
      <c r="F26" s="1">
        <v>8607571968</v>
      </c>
      <c r="G26" s="1">
        <v>0</v>
      </c>
      <c r="H26" s="1">
        <v>6</v>
      </c>
      <c r="I26" s="1">
        <v>0</v>
      </c>
      <c r="J26" s="1">
        <v>406.12297854097028</v>
      </c>
      <c r="K26" s="1">
        <v>2202243268</v>
      </c>
      <c r="L26" s="1">
        <v>1268589</v>
      </c>
      <c r="M26" s="1">
        <v>0</v>
      </c>
      <c r="N26" s="1">
        <v>0</v>
      </c>
      <c r="O26" s="1">
        <v>28672</v>
      </c>
      <c r="P26" s="1">
        <v>7</v>
      </c>
      <c r="Q26" s="1">
        <v>157025</v>
      </c>
      <c r="R26" s="1">
        <v>2173464</v>
      </c>
    </row>
    <row r="27" spans="1:18" x14ac:dyDescent="0.25">
      <c r="A27" s="1" t="s">
        <v>33</v>
      </c>
      <c r="B27" s="1">
        <f t="shared" ref="B27:R27" si="3">AVERAGE(B24:B26)</f>
        <v>4</v>
      </c>
      <c r="C27" s="1">
        <f t="shared" si="3"/>
        <v>5.666666666666667</v>
      </c>
      <c r="D27" s="1">
        <f t="shared" si="3"/>
        <v>88.333333333333329</v>
      </c>
      <c r="E27" s="1">
        <f t="shared" si="3"/>
        <v>43412.333333333336</v>
      </c>
      <c r="F27" s="1">
        <f t="shared" si="3"/>
        <v>8607571968</v>
      </c>
      <c r="G27" s="1">
        <f t="shared" si="3"/>
        <v>0</v>
      </c>
      <c r="H27" s="1">
        <f t="shared" si="3"/>
        <v>6</v>
      </c>
      <c r="I27" s="1">
        <f t="shared" si="3"/>
        <v>0</v>
      </c>
      <c r="J27" s="1">
        <f t="shared" si="3"/>
        <v>407.60435767915209</v>
      </c>
      <c r="K27" s="1">
        <f t="shared" si="3"/>
        <v>2211377650.6666665</v>
      </c>
      <c r="L27" s="1">
        <f t="shared" si="3"/>
        <v>1275851.6666666667</v>
      </c>
      <c r="M27" s="1">
        <f t="shared" si="3"/>
        <v>0</v>
      </c>
      <c r="N27" s="1">
        <f t="shared" si="3"/>
        <v>0</v>
      </c>
      <c r="O27" s="1">
        <f t="shared" si="3"/>
        <v>36864</v>
      </c>
      <c r="P27" s="1">
        <f t="shared" si="3"/>
        <v>9</v>
      </c>
      <c r="Q27" s="1">
        <f t="shared" si="3"/>
        <v>157243.66666666666</v>
      </c>
      <c r="R27" s="1">
        <f t="shared" si="3"/>
        <v>2174877</v>
      </c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 t="s">
        <v>17</v>
      </c>
      <c r="B29" s="1">
        <v>12288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 s="1" t="s">
        <v>21</v>
      </c>
      <c r="E30" s="1" t="s">
        <v>3</v>
      </c>
      <c r="F30" s="1" t="s">
        <v>22</v>
      </c>
      <c r="G30" s="1" t="s">
        <v>23</v>
      </c>
      <c r="H30" s="1" t="s">
        <v>24</v>
      </c>
      <c r="I30" s="1" t="s">
        <v>25</v>
      </c>
      <c r="J30" s="1" t="s">
        <v>26</v>
      </c>
      <c r="K30" s="1" t="s">
        <v>27</v>
      </c>
      <c r="L30" s="1" t="s">
        <v>28</v>
      </c>
      <c r="M30" s="1" t="s">
        <v>29</v>
      </c>
      <c r="N30" s="1" t="s">
        <v>30</v>
      </c>
      <c r="O30" s="1" t="s">
        <v>31</v>
      </c>
      <c r="P30" s="1" t="s">
        <v>32</v>
      </c>
      <c r="Q30" s="1" t="s">
        <v>4</v>
      </c>
      <c r="R30" s="1" t="s">
        <v>5</v>
      </c>
    </row>
    <row r="31" spans="1:18" x14ac:dyDescent="0.25">
      <c r="A31" s="1">
        <v>1</v>
      </c>
      <c r="B31" s="1">
        <v>4</v>
      </c>
      <c r="C31" s="1">
        <v>8</v>
      </c>
      <c r="D31" s="1">
        <v>56</v>
      </c>
      <c r="E31" s="1">
        <v>61483</v>
      </c>
      <c r="F31" s="1">
        <v>12902539264</v>
      </c>
      <c r="G31" s="1">
        <v>0</v>
      </c>
      <c r="H31" s="1">
        <v>6</v>
      </c>
      <c r="I31" s="1">
        <v>0</v>
      </c>
      <c r="J31" s="1">
        <v>311.3833070353802</v>
      </c>
      <c r="K31" s="1">
        <v>2392573690</v>
      </c>
      <c r="L31" s="1">
        <v>2250716</v>
      </c>
      <c r="M31" s="1">
        <v>0</v>
      </c>
      <c r="N31" s="1">
        <v>0</v>
      </c>
      <c r="O31" s="1">
        <v>28672</v>
      </c>
      <c r="P31" s="1">
        <v>7</v>
      </c>
      <c r="Q31" s="1">
        <v>116299</v>
      </c>
      <c r="R31" s="1">
        <v>3227860</v>
      </c>
    </row>
    <row r="32" spans="1:18" x14ac:dyDescent="0.25">
      <c r="A32" s="1">
        <v>2</v>
      </c>
      <c r="B32" s="1">
        <v>4</v>
      </c>
      <c r="C32" s="1">
        <v>7</v>
      </c>
      <c r="D32" s="1">
        <v>79</v>
      </c>
      <c r="E32" s="1">
        <v>62595</v>
      </c>
      <c r="F32" s="1">
        <v>12902539264</v>
      </c>
      <c r="G32" s="1">
        <v>0</v>
      </c>
      <c r="H32" s="1">
        <v>6</v>
      </c>
      <c r="I32" s="1">
        <v>0</v>
      </c>
      <c r="J32" s="1">
        <v>314.1167722886176</v>
      </c>
      <c r="K32" s="1">
        <v>2457280158</v>
      </c>
      <c r="L32" s="1">
        <v>2250349</v>
      </c>
      <c r="M32" s="1">
        <v>0</v>
      </c>
      <c r="N32" s="1">
        <v>0</v>
      </c>
      <c r="O32" s="1">
        <v>36864</v>
      </c>
      <c r="P32" s="1">
        <v>9</v>
      </c>
      <c r="Q32" s="1">
        <v>168115</v>
      </c>
      <c r="R32" s="1">
        <v>3241455</v>
      </c>
    </row>
    <row r="33" spans="1:18" x14ac:dyDescent="0.25">
      <c r="A33" s="1">
        <v>3</v>
      </c>
      <c r="B33" s="1">
        <v>4</v>
      </c>
      <c r="C33" s="1">
        <v>8</v>
      </c>
      <c r="D33" s="1">
        <v>59</v>
      </c>
      <c r="E33" s="1">
        <v>61945</v>
      </c>
      <c r="F33" s="1">
        <v>12902539264</v>
      </c>
      <c r="G33" s="1">
        <v>0</v>
      </c>
      <c r="H33" s="1">
        <v>6</v>
      </c>
      <c r="I33" s="1">
        <v>0</v>
      </c>
      <c r="J33" s="1">
        <v>302.30185420669392</v>
      </c>
      <c r="K33" s="1">
        <v>2340246333</v>
      </c>
      <c r="L33" s="1">
        <v>2276106</v>
      </c>
      <c r="M33" s="1">
        <v>0</v>
      </c>
      <c r="N33" s="1">
        <v>0</v>
      </c>
      <c r="O33" s="1">
        <v>28672</v>
      </c>
      <c r="P33" s="1">
        <v>7</v>
      </c>
      <c r="Q33" s="1">
        <v>166324</v>
      </c>
      <c r="R33" s="1">
        <v>3227619</v>
      </c>
    </row>
    <row r="34" spans="1:18" x14ac:dyDescent="0.25">
      <c r="A34" s="1" t="s">
        <v>33</v>
      </c>
      <c r="B34" s="1">
        <f t="shared" ref="B34:R34" si="4">AVERAGE(B31:B33)</f>
        <v>4</v>
      </c>
      <c r="C34" s="1">
        <f t="shared" si="4"/>
        <v>7.666666666666667</v>
      </c>
      <c r="D34" s="1">
        <f t="shared" si="4"/>
        <v>64.666666666666671</v>
      </c>
      <c r="E34" s="1">
        <f t="shared" si="4"/>
        <v>62007.666666666664</v>
      </c>
      <c r="F34" s="1">
        <f t="shared" si="4"/>
        <v>12902539264</v>
      </c>
      <c r="G34" s="1">
        <f t="shared" si="4"/>
        <v>0</v>
      </c>
      <c r="H34" s="1">
        <f t="shared" si="4"/>
        <v>6</v>
      </c>
      <c r="I34" s="1">
        <f t="shared" si="4"/>
        <v>0</v>
      </c>
      <c r="J34" s="1">
        <f t="shared" si="4"/>
        <v>309.26731117689724</v>
      </c>
      <c r="K34" s="1">
        <f t="shared" si="4"/>
        <v>2396700060.3333335</v>
      </c>
      <c r="L34" s="1">
        <f t="shared" si="4"/>
        <v>2259057</v>
      </c>
      <c r="M34" s="1">
        <f t="shared" si="4"/>
        <v>0</v>
      </c>
      <c r="N34" s="1">
        <f t="shared" si="4"/>
        <v>0</v>
      </c>
      <c r="O34" s="1">
        <f t="shared" si="4"/>
        <v>31402.666666666668</v>
      </c>
      <c r="P34" s="1">
        <f t="shared" si="4"/>
        <v>7.666666666666667</v>
      </c>
      <c r="Q34" s="1">
        <f t="shared" si="4"/>
        <v>150246</v>
      </c>
      <c r="R34" s="1">
        <f t="shared" si="4"/>
        <v>3232311.3333333335</v>
      </c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 t="s">
        <v>17</v>
      </c>
      <c r="B36" s="1">
        <v>16384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 s="1" t="s">
        <v>21</v>
      </c>
      <c r="E37" s="1" t="s">
        <v>3</v>
      </c>
      <c r="F37" s="1" t="s">
        <v>22</v>
      </c>
      <c r="G37" s="1" t="s">
        <v>23</v>
      </c>
      <c r="H37" s="1" t="s">
        <v>24</v>
      </c>
      <c r="I37" s="1" t="s">
        <v>25</v>
      </c>
      <c r="J37" s="1" t="s">
        <v>26</v>
      </c>
      <c r="K37" s="1" t="s">
        <v>27</v>
      </c>
      <c r="L37" s="1" t="s">
        <v>28</v>
      </c>
      <c r="M37" s="1" t="s">
        <v>29</v>
      </c>
      <c r="N37" s="1" t="s">
        <v>30</v>
      </c>
      <c r="O37" s="1" t="s">
        <v>31</v>
      </c>
      <c r="P37" s="1" t="s">
        <v>32</v>
      </c>
      <c r="Q37" s="1" t="s">
        <v>4</v>
      </c>
      <c r="R37" s="1" t="s">
        <v>5</v>
      </c>
    </row>
    <row r="38" spans="1:18" x14ac:dyDescent="0.25">
      <c r="A38" s="1">
        <v>1</v>
      </c>
      <c r="B38" s="1">
        <v>5</v>
      </c>
      <c r="C38" s="1">
        <v>9</v>
      </c>
      <c r="D38" s="1">
        <v>100</v>
      </c>
      <c r="E38" s="1">
        <v>80278</v>
      </c>
      <c r="F38" s="1">
        <v>17197506560</v>
      </c>
      <c r="G38" s="1">
        <v>0</v>
      </c>
      <c r="H38" s="1">
        <v>7</v>
      </c>
      <c r="I38" s="1">
        <v>0</v>
      </c>
      <c r="J38" s="1">
        <v>268.34087680175412</v>
      </c>
      <c r="K38" s="1">
        <v>2692219044</v>
      </c>
      <c r="L38" s="1">
        <v>3193054</v>
      </c>
      <c r="M38" s="1">
        <v>0</v>
      </c>
      <c r="N38" s="1">
        <v>0</v>
      </c>
      <c r="O38" s="1">
        <v>53248</v>
      </c>
      <c r="P38" s="1">
        <v>13</v>
      </c>
      <c r="Q38" s="1">
        <v>203898</v>
      </c>
      <c r="R38" s="1">
        <v>4281107</v>
      </c>
    </row>
    <row r="39" spans="1:18" x14ac:dyDescent="0.25">
      <c r="A39" s="1">
        <v>2</v>
      </c>
      <c r="B39" s="1">
        <v>5</v>
      </c>
      <c r="C39" s="1">
        <v>9</v>
      </c>
      <c r="D39" s="1">
        <v>89</v>
      </c>
      <c r="E39" s="1">
        <v>79999</v>
      </c>
      <c r="F39" s="1">
        <v>17197506560</v>
      </c>
      <c r="G39" s="1">
        <v>0</v>
      </c>
      <c r="H39" s="1">
        <v>7</v>
      </c>
      <c r="I39" s="1">
        <v>0</v>
      </c>
      <c r="J39" s="1">
        <v>255.4149819727466</v>
      </c>
      <c r="K39" s="1">
        <v>2553618115</v>
      </c>
      <c r="L39" s="1">
        <v>3268606</v>
      </c>
      <c r="M39" s="1">
        <v>0</v>
      </c>
      <c r="N39" s="1">
        <v>0</v>
      </c>
      <c r="O39" s="1">
        <v>28672</v>
      </c>
      <c r="P39" s="1">
        <v>7</v>
      </c>
      <c r="Q39" s="1">
        <v>191349</v>
      </c>
      <c r="R39" s="1">
        <v>4305746</v>
      </c>
    </row>
    <row r="40" spans="1:18" x14ac:dyDescent="0.25">
      <c r="A40" s="1">
        <v>3</v>
      </c>
      <c r="B40" s="1">
        <v>6</v>
      </c>
      <c r="C40" s="1">
        <v>10</v>
      </c>
      <c r="D40" s="1">
        <v>81</v>
      </c>
      <c r="E40" s="1">
        <v>80165</v>
      </c>
      <c r="F40" s="1">
        <v>17197506560</v>
      </c>
      <c r="G40" s="1">
        <v>0</v>
      </c>
      <c r="H40" s="1">
        <v>8</v>
      </c>
      <c r="I40" s="1">
        <v>0</v>
      </c>
      <c r="J40" s="1">
        <v>249.6739435344021</v>
      </c>
      <c r="K40" s="1">
        <v>2501364406</v>
      </c>
      <c r="L40" s="1">
        <v>3280589</v>
      </c>
      <c r="M40" s="1">
        <v>0</v>
      </c>
      <c r="N40" s="1">
        <v>0</v>
      </c>
      <c r="O40" s="1">
        <v>53248</v>
      </c>
      <c r="P40" s="1">
        <v>13</v>
      </c>
      <c r="Q40" s="1">
        <v>205661</v>
      </c>
      <c r="R40" s="1">
        <v>4304734</v>
      </c>
    </row>
    <row r="41" spans="1:18" x14ac:dyDescent="0.25">
      <c r="A41" s="1" t="s">
        <v>33</v>
      </c>
      <c r="B41" s="1">
        <f t="shared" ref="B41:R41" si="5">AVERAGE(B38:B40)</f>
        <v>5.333333333333333</v>
      </c>
      <c r="C41" s="1">
        <f t="shared" si="5"/>
        <v>9.3333333333333339</v>
      </c>
      <c r="D41" s="1">
        <f t="shared" si="5"/>
        <v>90</v>
      </c>
      <c r="E41" s="1">
        <f t="shared" si="5"/>
        <v>80147.333333333328</v>
      </c>
      <c r="F41" s="1">
        <f t="shared" si="5"/>
        <v>17197506560</v>
      </c>
      <c r="G41" s="1">
        <f t="shared" si="5"/>
        <v>0</v>
      </c>
      <c r="H41" s="1">
        <f t="shared" si="5"/>
        <v>7.333333333333333</v>
      </c>
      <c r="I41" s="1">
        <f t="shared" si="5"/>
        <v>0</v>
      </c>
      <c r="J41" s="1">
        <f t="shared" si="5"/>
        <v>257.80993410296759</v>
      </c>
      <c r="K41" s="1">
        <f t="shared" si="5"/>
        <v>2582400521.6666665</v>
      </c>
      <c r="L41" s="1">
        <f t="shared" si="5"/>
        <v>3247416.3333333335</v>
      </c>
      <c r="M41" s="1">
        <f t="shared" si="5"/>
        <v>0</v>
      </c>
      <c r="N41" s="1">
        <f t="shared" si="5"/>
        <v>0</v>
      </c>
      <c r="O41" s="1">
        <f t="shared" si="5"/>
        <v>45056</v>
      </c>
      <c r="P41" s="1">
        <f t="shared" si="5"/>
        <v>11</v>
      </c>
      <c r="Q41" s="1">
        <f t="shared" si="5"/>
        <v>200302.66666666666</v>
      </c>
      <c r="R41" s="1">
        <f t="shared" si="5"/>
        <v>4297195.666666667</v>
      </c>
    </row>
    <row r="42" spans="1:1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workbookViewId="0">
      <selection activeCell="A3" sqref="A3:XFD5"/>
    </sheetView>
  </sheetViews>
  <sheetFormatPr defaultRowHeight="15" x14ac:dyDescent="0.25"/>
  <cols>
    <col min="1" max="1" width="12" customWidth="1"/>
    <col min="2" max="6" width="19" customWidth="1"/>
    <col min="7" max="7" width="23" customWidth="1"/>
    <col min="8" max="8" width="22" customWidth="1"/>
    <col min="9" max="12" width="19" customWidth="1"/>
    <col min="13" max="13" width="22" customWidth="1"/>
    <col min="14" max="16" width="19" customWidth="1"/>
    <col min="17" max="17" width="24" customWidth="1"/>
    <col min="18" max="18" width="30" customWidth="1"/>
  </cols>
  <sheetData>
    <row r="1" spans="1:18" x14ac:dyDescent="0.25">
      <c r="A1" s="1" t="s">
        <v>17</v>
      </c>
      <c r="B1" s="1">
        <v>1024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3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4</v>
      </c>
      <c r="R2" s="1" t="s">
        <v>5</v>
      </c>
    </row>
    <row r="3" spans="1:18" x14ac:dyDescent="0.25">
      <c r="A3" s="1">
        <v>1</v>
      </c>
      <c r="B3" s="1">
        <v>2</v>
      </c>
      <c r="C3" s="1">
        <v>2</v>
      </c>
      <c r="D3" s="1">
        <v>49</v>
      </c>
      <c r="E3" s="1">
        <v>6309</v>
      </c>
      <c r="F3" s="1">
        <v>1091379200</v>
      </c>
      <c r="G3" s="1">
        <v>0</v>
      </c>
      <c r="H3" s="1">
        <v>4</v>
      </c>
      <c r="I3" s="1">
        <v>0</v>
      </c>
      <c r="J3" s="1">
        <v>854.55599429205643</v>
      </c>
      <c r="K3" s="1">
        <v>673498224</v>
      </c>
      <c r="L3" s="1">
        <v>11239</v>
      </c>
      <c r="M3" s="1">
        <v>0</v>
      </c>
      <c r="N3" s="1">
        <v>0</v>
      </c>
      <c r="O3" s="1">
        <v>32768</v>
      </c>
      <c r="P3" s="1">
        <v>8</v>
      </c>
      <c r="Q3" s="1">
        <v>14718</v>
      </c>
      <c r="R3" s="1">
        <v>276772</v>
      </c>
    </row>
    <row r="4" spans="1:18" x14ac:dyDescent="0.25">
      <c r="A4" s="1">
        <v>2</v>
      </c>
      <c r="B4" s="1">
        <v>2</v>
      </c>
      <c r="C4" s="1">
        <v>3</v>
      </c>
      <c r="D4" s="1">
        <v>70</v>
      </c>
      <c r="E4" s="1">
        <v>6340</v>
      </c>
      <c r="F4" s="1">
        <v>1091379200</v>
      </c>
      <c r="G4" s="1">
        <v>0</v>
      </c>
      <c r="H4" s="1">
        <v>4</v>
      </c>
      <c r="I4" s="1">
        <v>0</v>
      </c>
      <c r="J4" s="1">
        <v>834.36875619378259</v>
      </c>
      <c r="K4" s="1">
        <v>660711993</v>
      </c>
      <c r="L4" s="1">
        <v>11431</v>
      </c>
      <c r="M4" s="1">
        <v>0</v>
      </c>
      <c r="N4" s="1">
        <v>0</v>
      </c>
      <c r="O4" s="1">
        <v>32768</v>
      </c>
      <c r="P4" s="1">
        <v>8</v>
      </c>
      <c r="Q4" s="1">
        <v>13897</v>
      </c>
      <c r="R4" s="1">
        <v>276606</v>
      </c>
    </row>
    <row r="5" spans="1:18" x14ac:dyDescent="0.25">
      <c r="A5" s="1">
        <v>3</v>
      </c>
      <c r="B5" s="1">
        <v>2</v>
      </c>
      <c r="C5" s="1">
        <v>2</v>
      </c>
      <c r="D5" s="1">
        <v>266</v>
      </c>
      <c r="E5" s="1">
        <v>6431</v>
      </c>
      <c r="F5" s="1">
        <v>1091379200</v>
      </c>
      <c r="G5" s="1">
        <v>0</v>
      </c>
      <c r="H5" s="1">
        <v>4</v>
      </c>
      <c r="I5" s="1">
        <v>0</v>
      </c>
      <c r="J5" s="1">
        <v>817.06437330844619</v>
      </c>
      <c r="K5" s="1">
        <v>656400999</v>
      </c>
      <c r="L5" s="1">
        <v>10851</v>
      </c>
      <c r="M5" s="1">
        <v>0</v>
      </c>
      <c r="N5" s="1">
        <v>0</v>
      </c>
      <c r="O5" s="1">
        <v>28672</v>
      </c>
      <c r="P5" s="1">
        <v>7</v>
      </c>
      <c r="Q5" s="1">
        <v>17835</v>
      </c>
      <c r="R5" s="1">
        <v>277501</v>
      </c>
    </row>
    <row r="6" spans="1:18" x14ac:dyDescent="0.25">
      <c r="A6" s="1" t="s">
        <v>33</v>
      </c>
      <c r="B6" s="1">
        <f t="shared" ref="B6:R6" si="0">AVERAGE(B3:B5)</f>
        <v>2</v>
      </c>
      <c r="C6" s="1">
        <f t="shared" si="0"/>
        <v>2.3333333333333335</v>
      </c>
      <c r="D6" s="1">
        <f t="shared" si="0"/>
        <v>128.33333333333334</v>
      </c>
      <c r="E6" s="1">
        <f t="shared" si="0"/>
        <v>6360</v>
      </c>
      <c r="F6" s="1">
        <f t="shared" si="0"/>
        <v>1091379200</v>
      </c>
      <c r="G6" s="1">
        <f t="shared" si="0"/>
        <v>0</v>
      </c>
      <c r="H6" s="1">
        <f t="shared" si="0"/>
        <v>4</v>
      </c>
      <c r="I6" s="1">
        <f t="shared" si="0"/>
        <v>0</v>
      </c>
      <c r="J6" s="1">
        <f t="shared" si="0"/>
        <v>835.3297079314284</v>
      </c>
      <c r="K6" s="1">
        <f t="shared" si="0"/>
        <v>663537072</v>
      </c>
      <c r="L6" s="1">
        <f t="shared" si="0"/>
        <v>11173.666666666666</v>
      </c>
      <c r="M6" s="1">
        <f t="shared" si="0"/>
        <v>0</v>
      </c>
      <c r="N6" s="1">
        <f t="shared" si="0"/>
        <v>0</v>
      </c>
      <c r="O6" s="1">
        <f t="shared" si="0"/>
        <v>31402.666666666668</v>
      </c>
      <c r="P6" s="1">
        <f t="shared" si="0"/>
        <v>7.666666666666667</v>
      </c>
      <c r="Q6" s="1">
        <f t="shared" si="0"/>
        <v>15483.333333333334</v>
      </c>
      <c r="R6" s="1">
        <f t="shared" si="0"/>
        <v>276959.66666666669</v>
      </c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 t="s">
        <v>17</v>
      </c>
      <c r="B8" s="1">
        <v>2048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3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28</v>
      </c>
      <c r="M9" s="1" t="s">
        <v>29</v>
      </c>
      <c r="N9" s="1" t="s">
        <v>30</v>
      </c>
      <c r="O9" s="1" t="s">
        <v>31</v>
      </c>
      <c r="P9" s="1" t="s">
        <v>32</v>
      </c>
      <c r="Q9" s="1" t="s">
        <v>4</v>
      </c>
      <c r="R9" s="1" t="s">
        <v>5</v>
      </c>
    </row>
    <row r="10" spans="1:18" x14ac:dyDescent="0.25">
      <c r="A10" s="1">
        <v>1</v>
      </c>
      <c r="B10" s="1">
        <v>3</v>
      </c>
      <c r="C10" s="1">
        <v>3</v>
      </c>
      <c r="D10" s="1">
        <v>31</v>
      </c>
      <c r="E10" s="1">
        <v>13761</v>
      </c>
      <c r="F10" s="1">
        <v>2165121024</v>
      </c>
      <c r="G10" s="1">
        <v>0</v>
      </c>
      <c r="H10" s="1">
        <v>5</v>
      </c>
      <c r="I10" s="1">
        <v>0</v>
      </c>
      <c r="J10" s="1">
        <v>845.73828230847516</v>
      </c>
      <c r="K10" s="1">
        <v>1454246027</v>
      </c>
      <c r="L10" s="1">
        <v>8871</v>
      </c>
      <c r="M10" s="1">
        <v>0</v>
      </c>
      <c r="N10" s="1">
        <v>0</v>
      </c>
      <c r="O10" s="1">
        <v>28672</v>
      </c>
      <c r="P10" s="1">
        <v>7</v>
      </c>
      <c r="Q10" s="1">
        <v>24476</v>
      </c>
      <c r="R10" s="1">
        <v>552158</v>
      </c>
    </row>
    <row r="11" spans="1:18" x14ac:dyDescent="0.25">
      <c r="A11" s="1">
        <v>2</v>
      </c>
      <c r="B11" s="1">
        <v>3</v>
      </c>
      <c r="C11" s="1">
        <v>3</v>
      </c>
      <c r="D11" s="1">
        <v>44</v>
      </c>
      <c r="E11" s="1">
        <v>13916</v>
      </c>
      <c r="F11" s="1">
        <v>2165121024</v>
      </c>
      <c r="G11" s="1">
        <v>0</v>
      </c>
      <c r="H11" s="1">
        <v>5</v>
      </c>
      <c r="I11" s="1">
        <v>0</v>
      </c>
      <c r="J11" s="1">
        <v>840.90319212247539</v>
      </c>
      <c r="K11" s="1">
        <v>1462223380</v>
      </c>
      <c r="L11" s="1">
        <v>12114</v>
      </c>
      <c r="M11" s="1">
        <v>0</v>
      </c>
      <c r="N11" s="1">
        <v>0</v>
      </c>
      <c r="O11" s="1">
        <v>28672</v>
      </c>
      <c r="P11" s="1">
        <v>7</v>
      </c>
      <c r="Q11" s="1">
        <v>38104</v>
      </c>
      <c r="R11" s="1">
        <v>558285</v>
      </c>
    </row>
    <row r="12" spans="1:18" x14ac:dyDescent="0.25">
      <c r="A12" s="1">
        <v>3</v>
      </c>
      <c r="B12" s="1">
        <v>3</v>
      </c>
      <c r="C12" s="1">
        <v>3</v>
      </c>
      <c r="D12" s="1">
        <v>34</v>
      </c>
      <c r="E12" s="1">
        <v>13483</v>
      </c>
      <c r="F12" s="1">
        <v>2165121024</v>
      </c>
      <c r="G12" s="1">
        <v>0</v>
      </c>
      <c r="H12" s="1">
        <v>5</v>
      </c>
      <c r="I12" s="1">
        <v>0</v>
      </c>
      <c r="J12" s="1">
        <v>860.31659287833827</v>
      </c>
      <c r="K12" s="1">
        <v>1449421075</v>
      </c>
      <c r="L12" s="1">
        <v>9778</v>
      </c>
      <c r="M12" s="1">
        <v>0</v>
      </c>
      <c r="N12" s="1">
        <v>0</v>
      </c>
      <c r="O12" s="1">
        <v>32768</v>
      </c>
      <c r="P12" s="1">
        <v>8</v>
      </c>
      <c r="Q12" s="1">
        <v>29754</v>
      </c>
      <c r="R12" s="1">
        <v>550804</v>
      </c>
    </row>
    <row r="13" spans="1:18" x14ac:dyDescent="0.25">
      <c r="A13" s="1" t="s">
        <v>33</v>
      </c>
      <c r="B13" s="1">
        <f t="shared" ref="B13:R13" si="1">AVERAGE(B10:B12)</f>
        <v>3</v>
      </c>
      <c r="C13" s="1">
        <f t="shared" si="1"/>
        <v>3</v>
      </c>
      <c r="D13" s="1">
        <f t="shared" si="1"/>
        <v>36.333333333333336</v>
      </c>
      <c r="E13" s="1">
        <f t="shared" si="1"/>
        <v>13720</v>
      </c>
      <c r="F13" s="1">
        <f t="shared" si="1"/>
        <v>2165121024</v>
      </c>
      <c r="G13" s="1">
        <f t="shared" si="1"/>
        <v>0</v>
      </c>
      <c r="H13" s="1">
        <f t="shared" si="1"/>
        <v>5</v>
      </c>
      <c r="I13" s="1">
        <f t="shared" si="1"/>
        <v>0</v>
      </c>
      <c r="J13" s="1">
        <f t="shared" si="1"/>
        <v>848.98602243642961</v>
      </c>
      <c r="K13" s="1">
        <f t="shared" si="1"/>
        <v>1455296827.3333333</v>
      </c>
      <c r="L13" s="1">
        <f t="shared" si="1"/>
        <v>10254.333333333334</v>
      </c>
      <c r="M13" s="1">
        <f t="shared" si="1"/>
        <v>0</v>
      </c>
      <c r="N13" s="1">
        <f t="shared" si="1"/>
        <v>0</v>
      </c>
      <c r="O13" s="1">
        <f t="shared" si="1"/>
        <v>30037.333333333332</v>
      </c>
      <c r="P13" s="1">
        <f t="shared" si="1"/>
        <v>7.333333333333333</v>
      </c>
      <c r="Q13" s="1">
        <f t="shared" si="1"/>
        <v>30778</v>
      </c>
      <c r="R13" s="1">
        <f t="shared" si="1"/>
        <v>553749</v>
      </c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 t="s">
        <v>17</v>
      </c>
      <c r="B15" s="1">
        <v>4096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3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26</v>
      </c>
      <c r="K16" s="1" t="s">
        <v>27</v>
      </c>
      <c r="L16" s="1" t="s">
        <v>28</v>
      </c>
      <c r="M16" s="1" t="s">
        <v>29</v>
      </c>
      <c r="N16" s="1" t="s">
        <v>30</v>
      </c>
      <c r="O16" s="1" t="s">
        <v>31</v>
      </c>
      <c r="P16" s="1" t="s">
        <v>32</v>
      </c>
      <c r="Q16" s="1" t="s">
        <v>4</v>
      </c>
      <c r="R16" s="1" t="s">
        <v>5</v>
      </c>
    </row>
    <row r="17" spans="1:18" x14ac:dyDescent="0.25">
      <c r="A17" s="1">
        <v>1</v>
      </c>
      <c r="B17" s="1">
        <v>4</v>
      </c>
      <c r="C17" s="1">
        <v>3</v>
      </c>
      <c r="D17" s="1">
        <v>41</v>
      </c>
      <c r="E17" s="1">
        <v>24362</v>
      </c>
      <c r="F17" s="1">
        <v>4312604672</v>
      </c>
      <c r="G17" s="1">
        <v>0</v>
      </c>
      <c r="H17" s="1">
        <v>6</v>
      </c>
      <c r="I17" s="1">
        <v>0</v>
      </c>
      <c r="J17" s="1">
        <v>651.36182601913049</v>
      </c>
      <c r="K17" s="1">
        <v>1983102930</v>
      </c>
      <c r="L17" s="1">
        <v>298878</v>
      </c>
      <c r="M17" s="1">
        <v>0</v>
      </c>
      <c r="N17" s="1">
        <v>0</v>
      </c>
      <c r="O17" s="1">
        <v>28672</v>
      </c>
      <c r="P17" s="1">
        <v>7</v>
      </c>
      <c r="Q17" s="1">
        <v>98488</v>
      </c>
      <c r="R17" s="1">
        <v>1109032</v>
      </c>
    </row>
    <row r="18" spans="1:18" x14ac:dyDescent="0.25">
      <c r="A18" s="1">
        <v>2</v>
      </c>
      <c r="B18" s="1">
        <v>4</v>
      </c>
      <c r="C18" s="1">
        <v>4</v>
      </c>
      <c r="D18" s="1">
        <v>67</v>
      </c>
      <c r="E18" s="1">
        <v>24894</v>
      </c>
      <c r="F18" s="1">
        <v>4312604672</v>
      </c>
      <c r="G18" s="1">
        <v>0</v>
      </c>
      <c r="H18" s="1">
        <v>6</v>
      </c>
      <c r="I18" s="1">
        <v>0</v>
      </c>
      <c r="J18" s="1">
        <v>633.59929256729606</v>
      </c>
      <c r="K18" s="1">
        <v>1971073389</v>
      </c>
      <c r="L18" s="1">
        <v>310424</v>
      </c>
      <c r="M18" s="1">
        <v>0</v>
      </c>
      <c r="N18" s="1">
        <v>0</v>
      </c>
      <c r="O18" s="1">
        <v>28672</v>
      </c>
      <c r="P18" s="1">
        <v>7</v>
      </c>
      <c r="Q18" s="1">
        <v>121691</v>
      </c>
      <c r="R18" s="1">
        <v>1107293</v>
      </c>
    </row>
    <row r="19" spans="1:18" x14ac:dyDescent="0.25">
      <c r="A19" s="1">
        <v>3</v>
      </c>
      <c r="B19" s="1">
        <v>3</v>
      </c>
      <c r="C19" s="1">
        <v>4</v>
      </c>
      <c r="D19" s="1">
        <v>61</v>
      </c>
      <c r="E19" s="1">
        <v>23553</v>
      </c>
      <c r="F19" s="1">
        <v>4312604672</v>
      </c>
      <c r="G19" s="1">
        <v>0</v>
      </c>
      <c r="H19" s="1">
        <v>5</v>
      </c>
      <c r="I19" s="1">
        <v>0</v>
      </c>
      <c r="J19" s="1">
        <v>646.24903307996101</v>
      </c>
      <c r="K19" s="1">
        <v>1902102426</v>
      </c>
      <c r="L19" s="1">
        <v>309475</v>
      </c>
      <c r="M19" s="1">
        <v>0</v>
      </c>
      <c r="N19" s="1">
        <v>0</v>
      </c>
      <c r="O19" s="1">
        <v>28672</v>
      </c>
      <c r="P19" s="1">
        <v>7</v>
      </c>
      <c r="Q19" s="1">
        <v>70451</v>
      </c>
      <c r="R19" s="1">
        <v>1082083</v>
      </c>
    </row>
    <row r="20" spans="1:18" x14ac:dyDescent="0.25">
      <c r="A20" s="1" t="s">
        <v>33</v>
      </c>
      <c r="B20" s="1">
        <f t="shared" ref="B20:R20" si="2">AVERAGE(B17:B19)</f>
        <v>3.6666666666666665</v>
      </c>
      <c r="C20" s="1">
        <f t="shared" si="2"/>
        <v>3.6666666666666665</v>
      </c>
      <c r="D20" s="1">
        <f t="shared" si="2"/>
        <v>56.333333333333336</v>
      </c>
      <c r="E20" s="1">
        <f t="shared" si="2"/>
        <v>24269.666666666668</v>
      </c>
      <c r="F20" s="1">
        <f t="shared" si="2"/>
        <v>4312604672</v>
      </c>
      <c r="G20" s="1">
        <f t="shared" si="2"/>
        <v>0</v>
      </c>
      <c r="H20" s="1">
        <f t="shared" si="2"/>
        <v>5.666666666666667</v>
      </c>
      <c r="I20" s="1">
        <f t="shared" si="2"/>
        <v>0</v>
      </c>
      <c r="J20" s="1">
        <f t="shared" si="2"/>
        <v>643.73671722212919</v>
      </c>
      <c r="K20" s="1">
        <f t="shared" si="2"/>
        <v>1952092915</v>
      </c>
      <c r="L20" s="1">
        <f t="shared" si="2"/>
        <v>306259</v>
      </c>
      <c r="M20" s="1">
        <f t="shared" si="2"/>
        <v>0</v>
      </c>
      <c r="N20" s="1">
        <f t="shared" si="2"/>
        <v>0</v>
      </c>
      <c r="O20" s="1">
        <f t="shared" si="2"/>
        <v>28672</v>
      </c>
      <c r="P20" s="1">
        <f t="shared" si="2"/>
        <v>7</v>
      </c>
      <c r="Q20" s="1">
        <f t="shared" si="2"/>
        <v>96876.666666666672</v>
      </c>
      <c r="R20" s="1">
        <f t="shared" si="2"/>
        <v>1099469.3333333333</v>
      </c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17</v>
      </c>
      <c r="B22" s="1">
        <v>8192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 s="1" t="s">
        <v>21</v>
      </c>
      <c r="E23" s="1" t="s">
        <v>3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  <c r="N23" s="1" t="s">
        <v>30</v>
      </c>
      <c r="O23" s="1" t="s">
        <v>31</v>
      </c>
      <c r="P23" s="1" t="s">
        <v>32</v>
      </c>
      <c r="Q23" s="1" t="s">
        <v>4</v>
      </c>
      <c r="R23" s="1" t="s">
        <v>5</v>
      </c>
    </row>
    <row r="24" spans="1:18" x14ac:dyDescent="0.25">
      <c r="A24" s="1">
        <v>1</v>
      </c>
      <c r="B24" s="1">
        <v>4</v>
      </c>
      <c r="C24" s="1">
        <v>5</v>
      </c>
      <c r="D24" s="1">
        <v>98</v>
      </c>
      <c r="E24" s="1">
        <v>41869</v>
      </c>
      <c r="F24" s="1">
        <v>8607571968</v>
      </c>
      <c r="G24" s="1">
        <v>0</v>
      </c>
      <c r="H24" s="1">
        <v>6</v>
      </c>
      <c r="I24" s="1">
        <v>0</v>
      </c>
      <c r="J24" s="1">
        <v>391.54573476017578</v>
      </c>
      <c r="K24" s="1">
        <v>2048746420</v>
      </c>
      <c r="L24" s="1">
        <v>1311395</v>
      </c>
      <c r="M24" s="1">
        <v>0</v>
      </c>
      <c r="N24" s="1">
        <v>0</v>
      </c>
      <c r="O24" s="1">
        <v>28672</v>
      </c>
      <c r="P24" s="1">
        <v>7</v>
      </c>
      <c r="Q24" s="1">
        <v>98759</v>
      </c>
      <c r="R24" s="1">
        <v>2146579</v>
      </c>
    </row>
    <row r="25" spans="1:18" x14ac:dyDescent="0.25">
      <c r="A25" s="1">
        <v>2</v>
      </c>
      <c r="B25" s="1">
        <v>4</v>
      </c>
      <c r="C25" s="1">
        <v>6</v>
      </c>
      <c r="D25" s="1">
        <v>45</v>
      </c>
      <c r="E25" s="1">
        <v>41390</v>
      </c>
      <c r="F25" s="1">
        <v>8607571968</v>
      </c>
      <c r="G25" s="1">
        <v>0</v>
      </c>
      <c r="H25" s="1">
        <v>6</v>
      </c>
      <c r="I25" s="1">
        <v>0</v>
      </c>
      <c r="J25" s="1">
        <v>412.36211907983761</v>
      </c>
      <c r="K25" s="1">
        <v>2132936832</v>
      </c>
      <c r="L25" s="1">
        <v>1309749</v>
      </c>
      <c r="M25" s="1">
        <v>0</v>
      </c>
      <c r="N25" s="1">
        <v>0</v>
      </c>
      <c r="O25" s="1">
        <v>28672</v>
      </c>
      <c r="P25" s="1">
        <v>7</v>
      </c>
      <c r="Q25" s="1">
        <v>78617</v>
      </c>
      <c r="R25" s="1">
        <v>2176737</v>
      </c>
    </row>
    <row r="26" spans="1:18" x14ac:dyDescent="0.25">
      <c r="A26" s="1">
        <v>3</v>
      </c>
      <c r="B26" s="1">
        <v>4</v>
      </c>
      <c r="C26" s="1">
        <v>5</v>
      </c>
      <c r="D26" s="1">
        <v>45</v>
      </c>
      <c r="E26" s="1">
        <v>41703</v>
      </c>
      <c r="F26" s="1">
        <v>8607571968</v>
      </c>
      <c r="G26" s="1">
        <v>0</v>
      </c>
      <c r="H26" s="1">
        <v>6</v>
      </c>
      <c r="I26" s="1">
        <v>0</v>
      </c>
      <c r="J26" s="1">
        <v>426.6661272962732</v>
      </c>
      <c r="K26" s="1">
        <v>2223678112</v>
      </c>
      <c r="L26" s="1">
        <v>1273239</v>
      </c>
      <c r="M26" s="1">
        <v>0</v>
      </c>
      <c r="N26" s="1">
        <v>0</v>
      </c>
      <c r="O26" s="1">
        <v>28672</v>
      </c>
      <c r="P26" s="1">
        <v>7</v>
      </c>
      <c r="Q26" s="1">
        <v>114148</v>
      </c>
      <c r="R26" s="1">
        <v>2169617</v>
      </c>
    </row>
    <row r="27" spans="1:18" x14ac:dyDescent="0.25">
      <c r="A27" s="1" t="s">
        <v>33</v>
      </c>
      <c r="B27" s="1">
        <f t="shared" ref="B27:R27" si="3">AVERAGE(B24:B26)</f>
        <v>4</v>
      </c>
      <c r="C27" s="1">
        <f t="shared" si="3"/>
        <v>5.333333333333333</v>
      </c>
      <c r="D27" s="1">
        <f t="shared" si="3"/>
        <v>62.666666666666664</v>
      </c>
      <c r="E27" s="1">
        <f t="shared" si="3"/>
        <v>41654</v>
      </c>
      <c r="F27" s="1">
        <f t="shared" si="3"/>
        <v>8607571968</v>
      </c>
      <c r="G27" s="1">
        <f t="shared" si="3"/>
        <v>0</v>
      </c>
      <c r="H27" s="1">
        <f t="shared" si="3"/>
        <v>6</v>
      </c>
      <c r="I27" s="1">
        <f t="shared" si="3"/>
        <v>0</v>
      </c>
      <c r="J27" s="1">
        <f t="shared" si="3"/>
        <v>410.19132704542881</v>
      </c>
      <c r="K27" s="1">
        <f t="shared" si="3"/>
        <v>2135120454.6666667</v>
      </c>
      <c r="L27" s="1">
        <f t="shared" si="3"/>
        <v>1298127.6666666667</v>
      </c>
      <c r="M27" s="1">
        <f t="shared" si="3"/>
        <v>0</v>
      </c>
      <c r="N27" s="1">
        <f t="shared" si="3"/>
        <v>0</v>
      </c>
      <c r="O27" s="1">
        <f t="shared" si="3"/>
        <v>28672</v>
      </c>
      <c r="P27" s="1">
        <f t="shared" si="3"/>
        <v>7</v>
      </c>
      <c r="Q27" s="1">
        <f t="shared" si="3"/>
        <v>97174.666666666672</v>
      </c>
      <c r="R27" s="1">
        <f t="shared" si="3"/>
        <v>2164311</v>
      </c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 t="s">
        <v>17</v>
      </c>
      <c r="B29" s="1">
        <v>12288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 s="1" t="s">
        <v>21</v>
      </c>
      <c r="E30" s="1" t="s">
        <v>3</v>
      </c>
      <c r="F30" s="1" t="s">
        <v>22</v>
      </c>
      <c r="G30" s="1" t="s">
        <v>23</v>
      </c>
      <c r="H30" s="1" t="s">
        <v>24</v>
      </c>
      <c r="I30" s="1" t="s">
        <v>25</v>
      </c>
      <c r="J30" s="1" t="s">
        <v>26</v>
      </c>
      <c r="K30" s="1" t="s">
        <v>27</v>
      </c>
      <c r="L30" s="1" t="s">
        <v>28</v>
      </c>
      <c r="M30" s="1" t="s">
        <v>29</v>
      </c>
      <c r="N30" s="1" t="s">
        <v>30</v>
      </c>
      <c r="O30" s="1" t="s">
        <v>31</v>
      </c>
      <c r="P30" s="1" t="s">
        <v>32</v>
      </c>
      <c r="Q30" s="1" t="s">
        <v>4</v>
      </c>
      <c r="R30" s="1" t="s">
        <v>5</v>
      </c>
    </row>
    <row r="31" spans="1:18" x14ac:dyDescent="0.25">
      <c r="A31" s="1">
        <v>1</v>
      </c>
      <c r="B31" s="1">
        <v>3</v>
      </c>
      <c r="C31" s="1">
        <v>7</v>
      </c>
      <c r="D31" s="1">
        <v>97</v>
      </c>
      <c r="E31" s="1">
        <v>57739</v>
      </c>
      <c r="F31" s="1">
        <v>12902539264</v>
      </c>
      <c r="G31" s="1">
        <v>0</v>
      </c>
      <c r="H31" s="1">
        <v>5</v>
      </c>
      <c r="I31" s="1">
        <v>0</v>
      </c>
      <c r="J31" s="1">
        <v>331.15688893507928</v>
      </c>
      <c r="K31" s="1">
        <v>2389581305</v>
      </c>
      <c r="L31" s="1">
        <v>2240854</v>
      </c>
      <c r="M31" s="1">
        <v>0</v>
      </c>
      <c r="N31" s="1">
        <v>0</v>
      </c>
      <c r="O31" s="1">
        <v>28672</v>
      </c>
      <c r="P31" s="1">
        <v>7</v>
      </c>
      <c r="Q31" s="1">
        <v>131743</v>
      </c>
      <c r="R31" s="1">
        <v>3214331</v>
      </c>
    </row>
    <row r="32" spans="1:18" x14ac:dyDescent="0.25">
      <c r="A32" s="1">
        <v>2</v>
      </c>
      <c r="B32" s="1">
        <v>4</v>
      </c>
      <c r="C32" s="1">
        <v>6</v>
      </c>
      <c r="D32" s="1">
        <v>75</v>
      </c>
      <c r="E32" s="1">
        <v>57946</v>
      </c>
      <c r="F32" s="1">
        <v>12902539264</v>
      </c>
      <c r="G32" s="1">
        <v>0</v>
      </c>
      <c r="H32" s="1">
        <v>6</v>
      </c>
      <c r="I32" s="1">
        <v>0</v>
      </c>
      <c r="J32" s="1">
        <v>311.77145322747668</v>
      </c>
      <c r="K32" s="1">
        <v>2257792340</v>
      </c>
      <c r="L32" s="1">
        <v>2302123</v>
      </c>
      <c r="M32" s="1">
        <v>0</v>
      </c>
      <c r="N32" s="1">
        <v>0</v>
      </c>
      <c r="O32" s="1">
        <v>28672</v>
      </c>
      <c r="P32" s="1">
        <v>7</v>
      </c>
      <c r="Q32" s="1">
        <v>136528</v>
      </c>
      <c r="R32" s="1">
        <v>3224573</v>
      </c>
    </row>
    <row r="33" spans="1:18" x14ac:dyDescent="0.25">
      <c r="A33" s="1">
        <v>3</v>
      </c>
      <c r="B33" s="1">
        <v>4</v>
      </c>
      <c r="C33" s="1">
        <v>7</v>
      </c>
      <c r="D33" s="1">
        <v>47</v>
      </c>
      <c r="E33" s="1">
        <v>57828</v>
      </c>
      <c r="F33" s="1">
        <v>12902539264</v>
      </c>
      <c r="G33" s="1">
        <v>0</v>
      </c>
      <c r="H33" s="1">
        <v>6</v>
      </c>
      <c r="I33" s="1">
        <v>0</v>
      </c>
      <c r="J33" s="1">
        <v>325.70733885612498</v>
      </c>
      <c r="K33" s="1">
        <v>2353878095</v>
      </c>
      <c r="L33" s="1">
        <v>2261723</v>
      </c>
      <c r="M33" s="1">
        <v>0</v>
      </c>
      <c r="N33" s="1">
        <v>0</v>
      </c>
      <c r="O33" s="1">
        <v>28672</v>
      </c>
      <c r="P33" s="1">
        <v>7</v>
      </c>
      <c r="Q33" s="1">
        <v>142855</v>
      </c>
      <c r="R33" s="1">
        <v>3223353</v>
      </c>
    </row>
    <row r="34" spans="1:18" x14ac:dyDescent="0.25">
      <c r="A34" s="1" t="s">
        <v>33</v>
      </c>
      <c r="B34" s="1">
        <f t="shared" ref="B34:R34" si="4">AVERAGE(B31:B33)</f>
        <v>3.6666666666666665</v>
      </c>
      <c r="C34" s="1">
        <f t="shared" si="4"/>
        <v>6.666666666666667</v>
      </c>
      <c r="D34" s="1">
        <f t="shared" si="4"/>
        <v>73</v>
      </c>
      <c r="E34" s="1">
        <f t="shared" si="4"/>
        <v>57837.666666666664</v>
      </c>
      <c r="F34" s="1">
        <f t="shared" si="4"/>
        <v>12902539264</v>
      </c>
      <c r="G34" s="1">
        <f t="shared" si="4"/>
        <v>0</v>
      </c>
      <c r="H34" s="1">
        <f t="shared" si="4"/>
        <v>5.666666666666667</v>
      </c>
      <c r="I34" s="1">
        <f t="shared" si="4"/>
        <v>0</v>
      </c>
      <c r="J34" s="1">
        <f t="shared" si="4"/>
        <v>322.87856033956035</v>
      </c>
      <c r="K34" s="1">
        <f t="shared" si="4"/>
        <v>2333750580</v>
      </c>
      <c r="L34" s="1">
        <f t="shared" si="4"/>
        <v>2268233.3333333335</v>
      </c>
      <c r="M34" s="1">
        <f t="shared" si="4"/>
        <v>0</v>
      </c>
      <c r="N34" s="1">
        <f t="shared" si="4"/>
        <v>0</v>
      </c>
      <c r="O34" s="1">
        <f t="shared" si="4"/>
        <v>28672</v>
      </c>
      <c r="P34" s="1">
        <f t="shared" si="4"/>
        <v>7</v>
      </c>
      <c r="Q34" s="1">
        <f t="shared" si="4"/>
        <v>137042</v>
      </c>
      <c r="R34" s="1">
        <f t="shared" si="4"/>
        <v>3220752.3333333335</v>
      </c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 t="s">
        <v>17</v>
      </c>
      <c r="B36" s="1">
        <v>16384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 s="1" t="s">
        <v>21</v>
      </c>
      <c r="E37" s="1" t="s">
        <v>3</v>
      </c>
      <c r="F37" s="1" t="s">
        <v>22</v>
      </c>
      <c r="G37" s="1" t="s">
        <v>23</v>
      </c>
      <c r="H37" s="1" t="s">
        <v>24</v>
      </c>
      <c r="I37" s="1" t="s">
        <v>25</v>
      </c>
      <c r="J37" s="1" t="s">
        <v>26</v>
      </c>
      <c r="K37" s="1" t="s">
        <v>27</v>
      </c>
      <c r="L37" s="1" t="s">
        <v>28</v>
      </c>
      <c r="M37" s="1" t="s">
        <v>29</v>
      </c>
      <c r="N37" s="1" t="s">
        <v>30</v>
      </c>
      <c r="O37" s="1" t="s">
        <v>31</v>
      </c>
      <c r="P37" s="1" t="s">
        <v>32</v>
      </c>
      <c r="Q37" s="1" t="s">
        <v>4</v>
      </c>
      <c r="R37" s="1" t="s">
        <v>5</v>
      </c>
    </row>
    <row r="38" spans="1:18" x14ac:dyDescent="0.25">
      <c r="A38" s="1">
        <v>1</v>
      </c>
      <c r="B38" s="1">
        <v>4</v>
      </c>
      <c r="C38" s="1">
        <v>9</v>
      </c>
      <c r="D38" s="1">
        <v>140</v>
      </c>
      <c r="E38" s="1">
        <v>76228</v>
      </c>
      <c r="F38" s="1">
        <v>17197506560</v>
      </c>
      <c r="G38" s="1">
        <v>0</v>
      </c>
      <c r="H38" s="1">
        <v>6</v>
      </c>
      <c r="I38" s="1">
        <v>0</v>
      </c>
      <c r="J38" s="1">
        <v>280.83570490297689</v>
      </c>
      <c r="K38" s="1">
        <v>2675414664</v>
      </c>
      <c r="L38" s="1">
        <v>3200921</v>
      </c>
      <c r="M38" s="1">
        <v>0</v>
      </c>
      <c r="N38" s="1">
        <v>0</v>
      </c>
      <c r="O38" s="1">
        <v>28672</v>
      </c>
      <c r="P38" s="1">
        <v>7</v>
      </c>
      <c r="Q38" s="1">
        <v>125994</v>
      </c>
      <c r="R38" s="1">
        <v>4293505</v>
      </c>
    </row>
    <row r="39" spans="1:18" x14ac:dyDescent="0.25">
      <c r="A39" s="1">
        <v>2</v>
      </c>
      <c r="B39" s="1">
        <v>5</v>
      </c>
      <c r="C39" s="1">
        <v>9</v>
      </c>
      <c r="D39" s="1">
        <v>49</v>
      </c>
      <c r="E39" s="1">
        <v>76655</v>
      </c>
      <c r="F39" s="1">
        <v>17197506560</v>
      </c>
      <c r="G39" s="1">
        <v>0</v>
      </c>
      <c r="H39" s="1">
        <v>7</v>
      </c>
      <c r="I39" s="1">
        <v>0</v>
      </c>
      <c r="J39" s="1">
        <v>263.20507173238002</v>
      </c>
      <c r="K39" s="1">
        <v>2521489555</v>
      </c>
      <c r="L39" s="1">
        <v>3261994</v>
      </c>
      <c r="M39" s="1">
        <v>0</v>
      </c>
      <c r="N39" s="1">
        <v>0</v>
      </c>
      <c r="O39" s="1">
        <v>28672</v>
      </c>
      <c r="P39" s="1">
        <v>7</v>
      </c>
      <c r="Q39" s="1">
        <v>210445</v>
      </c>
      <c r="R39" s="1">
        <v>4287746</v>
      </c>
    </row>
    <row r="40" spans="1:18" x14ac:dyDescent="0.25">
      <c r="A40" s="1">
        <v>3</v>
      </c>
      <c r="B40" s="1">
        <v>4</v>
      </c>
      <c r="C40" s="1">
        <v>9</v>
      </c>
      <c r="D40" s="1">
        <v>78</v>
      </c>
      <c r="E40" s="1">
        <v>76154</v>
      </c>
      <c r="F40" s="1">
        <v>17197506560</v>
      </c>
      <c r="G40" s="1">
        <v>0</v>
      </c>
      <c r="H40" s="1">
        <v>6</v>
      </c>
      <c r="I40" s="1">
        <v>0</v>
      </c>
      <c r="J40" s="1">
        <v>283.17694335806692</v>
      </c>
      <c r="K40" s="1">
        <v>2695101134</v>
      </c>
      <c r="L40" s="1">
        <v>3211342</v>
      </c>
      <c r="M40" s="1">
        <v>0</v>
      </c>
      <c r="N40" s="1">
        <v>0</v>
      </c>
      <c r="O40" s="1">
        <v>28672</v>
      </c>
      <c r="P40" s="1">
        <v>7</v>
      </c>
      <c r="Q40" s="1">
        <v>170786</v>
      </c>
      <c r="R40" s="1">
        <v>4295729</v>
      </c>
    </row>
    <row r="41" spans="1:18" x14ac:dyDescent="0.25">
      <c r="A41" s="1" t="s">
        <v>33</v>
      </c>
      <c r="B41" s="1">
        <f t="shared" ref="B41:R41" si="5">AVERAGE(B38:B40)</f>
        <v>4.333333333333333</v>
      </c>
      <c r="C41" s="1">
        <f t="shared" si="5"/>
        <v>9</v>
      </c>
      <c r="D41" s="1">
        <f t="shared" si="5"/>
        <v>89</v>
      </c>
      <c r="E41" s="1">
        <f t="shared" si="5"/>
        <v>76345.666666666672</v>
      </c>
      <c r="F41" s="1">
        <f t="shared" si="5"/>
        <v>17197506560</v>
      </c>
      <c r="G41" s="1">
        <f t="shared" si="5"/>
        <v>0</v>
      </c>
      <c r="H41" s="1">
        <f t="shared" si="5"/>
        <v>6.333333333333333</v>
      </c>
      <c r="I41" s="1">
        <f t="shared" si="5"/>
        <v>0</v>
      </c>
      <c r="J41" s="1">
        <f t="shared" si="5"/>
        <v>275.73923999780794</v>
      </c>
      <c r="K41" s="1">
        <f t="shared" si="5"/>
        <v>2630668451</v>
      </c>
      <c r="L41" s="1">
        <f t="shared" si="5"/>
        <v>3224752.3333333335</v>
      </c>
      <c r="M41" s="1">
        <f t="shared" si="5"/>
        <v>0</v>
      </c>
      <c r="N41" s="1">
        <f t="shared" si="5"/>
        <v>0</v>
      </c>
      <c r="O41" s="1">
        <f t="shared" si="5"/>
        <v>28672</v>
      </c>
      <c r="P41" s="1">
        <f t="shared" si="5"/>
        <v>7</v>
      </c>
      <c r="Q41" s="1">
        <f t="shared" si="5"/>
        <v>169075</v>
      </c>
      <c r="R41" s="1">
        <f t="shared" si="5"/>
        <v>4292326.666666667</v>
      </c>
    </row>
    <row r="42" spans="1:1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42"/>
  <sheetViews>
    <sheetView workbookViewId="0"/>
  </sheetViews>
  <sheetFormatPr defaultRowHeight="15" x14ac:dyDescent="0.25"/>
  <cols>
    <col min="1" max="1" width="12" customWidth="1"/>
    <col min="2" max="6" width="19" customWidth="1"/>
    <col min="7" max="7" width="23" customWidth="1"/>
    <col min="8" max="8" width="22" customWidth="1"/>
    <col min="9" max="12" width="19" customWidth="1"/>
    <col min="13" max="13" width="22" customWidth="1"/>
    <col min="14" max="16" width="19" customWidth="1"/>
    <col min="17" max="17" width="24" customWidth="1"/>
    <col min="18" max="18" width="30" customWidth="1"/>
  </cols>
  <sheetData>
    <row r="1" spans="1:18" x14ac:dyDescent="0.25">
      <c r="A1" s="1" t="s">
        <v>17</v>
      </c>
      <c r="B1" s="1">
        <v>1024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3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4</v>
      </c>
      <c r="R2" s="1" t="s">
        <v>5</v>
      </c>
    </row>
    <row r="3" spans="1:18" x14ac:dyDescent="0.25">
      <c r="A3" s="1">
        <v>1</v>
      </c>
      <c r="B3" s="1">
        <v>2</v>
      </c>
      <c r="C3" s="1">
        <v>2</v>
      </c>
      <c r="D3" s="1">
        <v>87</v>
      </c>
      <c r="E3" s="1">
        <v>6495</v>
      </c>
      <c r="F3" s="1">
        <v>1091379200</v>
      </c>
      <c r="G3" s="1">
        <v>0</v>
      </c>
      <c r="H3" s="1">
        <v>4</v>
      </c>
      <c r="I3" s="1">
        <v>0</v>
      </c>
      <c r="J3" s="1">
        <v>829.83618666255961</v>
      </c>
      <c r="K3" s="1">
        <v>673303437</v>
      </c>
      <c r="L3" s="1">
        <v>10695</v>
      </c>
      <c r="M3" s="1">
        <v>0</v>
      </c>
      <c r="N3" s="1">
        <v>0</v>
      </c>
      <c r="O3" s="1">
        <v>28672</v>
      </c>
      <c r="P3" s="1">
        <v>7</v>
      </c>
      <c r="Q3" s="1">
        <v>17787</v>
      </c>
      <c r="R3" s="1">
        <v>276986</v>
      </c>
    </row>
    <row r="4" spans="1:18" x14ac:dyDescent="0.25">
      <c r="A4" s="1">
        <v>2</v>
      </c>
      <c r="B4" s="1">
        <v>2</v>
      </c>
      <c r="C4" s="1">
        <v>3</v>
      </c>
      <c r="D4" s="1">
        <v>68</v>
      </c>
      <c r="E4" s="1">
        <v>6488</v>
      </c>
      <c r="F4" s="1">
        <v>1091379200</v>
      </c>
      <c r="G4" s="1">
        <v>0</v>
      </c>
      <c r="H4" s="1">
        <v>4</v>
      </c>
      <c r="I4" s="1">
        <v>0</v>
      </c>
      <c r="J4" s="1">
        <v>832.96381187355439</v>
      </c>
      <c r="K4" s="1">
        <v>675008932</v>
      </c>
      <c r="L4" s="1">
        <v>11127</v>
      </c>
      <c r="M4" s="1">
        <v>0</v>
      </c>
      <c r="N4" s="1">
        <v>0</v>
      </c>
      <c r="O4" s="1">
        <v>32768</v>
      </c>
      <c r="P4" s="1">
        <v>8</v>
      </c>
      <c r="Q4" s="1">
        <v>17696</v>
      </c>
      <c r="R4" s="1">
        <v>277726</v>
      </c>
    </row>
    <row r="5" spans="1:18" x14ac:dyDescent="0.25">
      <c r="A5" s="1">
        <v>3</v>
      </c>
      <c r="B5" s="1">
        <v>2</v>
      </c>
      <c r="C5" s="1">
        <v>3</v>
      </c>
      <c r="D5" s="1">
        <v>105</v>
      </c>
      <c r="E5" s="1">
        <v>6472</v>
      </c>
      <c r="F5" s="1">
        <v>1091379200</v>
      </c>
      <c r="G5" s="1">
        <v>0</v>
      </c>
      <c r="H5" s="1">
        <v>4</v>
      </c>
      <c r="I5" s="1">
        <v>0</v>
      </c>
      <c r="J5" s="1">
        <v>837.12981913742465</v>
      </c>
      <c r="K5" s="1">
        <v>676711742</v>
      </c>
      <c r="L5" s="1">
        <v>10611</v>
      </c>
      <c r="M5" s="1">
        <v>0</v>
      </c>
      <c r="N5" s="1">
        <v>0</v>
      </c>
      <c r="O5" s="1">
        <v>32768</v>
      </c>
      <c r="P5" s="1">
        <v>8</v>
      </c>
      <c r="Q5" s="1">
        <v>15209</v>
      </c>
      <c r="R5" s="1">
        <v>277324</v>
      </c>
    </row>
    <row r="6" spans="1:18" x14ac:dyDescent="0.25">
      <c r="A6" s="1" t="s">
        <v>33</v>
      </c>
      <c r="B6" s="1">
        <f t="shared" ref="B6:R6" si="0">AVERAGE(B3:B5)</f>
        <v>2</v>
      </c>
      <c r="C6" s="1">
        <f t="shared" si="0"/>
        <v>2.6666666666666665</v>
      </c>
      <c r="D6" s="1">
        <f t="shared" si="0"/>
        <v>86.666666666666671</v>
      </c>
      <c r="E6" s="1">
        <f t="shared" si="0"/>
        <v>6485</v>
      </c>
      <c r="F6" s="1">
        <f t="shared" si="0"/>
        <v>1091379200</v>
      </c>
      <c r="G6" s="1">
        <f t="shared" si="0"/>
        <v>0</v>
      </c>
      <c r="H6" s="1">
        <f t="shared" si="0"/>
        <v>4</v>
      </c>
      <c r="I6" s="1">
        <f t="shared" si="0"/>
        <v>0</v>
      </c>
      <c r="J6" s="1">
        <f t="shared" si="0"/>
        <v>833.30993922451273</v>
      </c>
      <c r="K6" s="1">
        <f t="shared" si="0"/>
        <v>675008037</v>
      </c>
      <c r="L6" s="1">
        <f t="shared" si="0"/>
        <v>10811</v>
      </c>
      <c r="M6" s="1">
        <f t="shared" si="0"/>
        <v>0</v>
      </c>
      <c r="N6" s="1">
        <f t="shared" si="0"/>
        <v>0</v>
      </c>
      <c r="O6" s="1">
        <f t="shared" si="0"/>
        <v>31402.666666666668</v>
      </c>
      <c r="P6" s="1">
        <f t="shared" si="0"/>
        <v>7.666666666666667</v>
      </c>
      <c r="Q6" s="1">
        <f t="shared" si="0"/>
        <v>16897.333333333332</v>
      </c>
      <c r="R6" s="1">
        <f t="shared" si="0"/>
        <v>277345.33333333331</v>
      </c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 t="s">
        <v>17</v>
      </c>
      <c r="B8" s="1">
        <v>2048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3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28</v>
      </c>
      <c r="M9" s="1" t="s">
        <v>29</v>
      </c>
      <c r="N9" s="1" t="s">
        <v>30</v>
      </c>
      <c r="O9" s="1" t="s">
        <v>31</v>
      </c>
      <c r="P9" s="1" t="s">
        <v>32</v>
      </c>
      <c r="Q9" s="1" t="s">
        <v>4</v>
      </c>
      <c r="R9" s="1" t="s">
        <v>5</v>
      </c>
    </row>
    <row r="10" spans="1:18" x14ac:dyDescent="0.25">
      <c r="A10" s="1">
        <v>1</v>
      </c>
      <c r="B10" s="1">
        <v>3</v>
      </c>
      <c r="C10" s="1">
        <v>3</v>
      </c>
      <c r="D10" s="1">
        <v>38</v>
      </c>
      <c r="E10" s="1">
        <v>14169</v>
      </c>
      <c r="F10" s="1">
        <v>2165121024</v>
      </c>
      <c r="G10" s="1">
        <v>0</v>
      </c>
      <c r="H10" s="1">
        <v>5</v>
      </c>
      <c r="I10" s="1">
        <v>0</v>
      </c>
      <c r="J10" s="1">
        <v>832.98126330650859</v>
      </c>
      <c r="K10" s="1">
        <v>1474789188</v>
      </c>
      <c r="L10" s="1">
        <v>10021</v>
      </c>
      <c r="M10" s="1">
        <v>0</v>
      </c>
      <c r="N10" s="1">
        <v>0</v>
      </c>
      <c r="O10" s="1">
        <v>28672</v>
      </c>
      <c r="P10" s="1">
        <v>7</v>
      </c>
      <c r="Q10" s="1">
        <v>42213</v>
      </c>
      <c r="R10" s="1">
        <v>561712</v>
      </c>
    </row>
    <row r="11" spans="1:18" x14ac:dyDescent="0.25">
      <c r="A11" s="1">
        <v>2</v>
      </c>
      <c r="B11" s="1">
        <v>3</v>
      </c>
      <c r="C11" s="1">
        <v>3</v>
      </c>
      <c r="D11" s="1">
        <v>47</v>
      </c>
      <c r="E11" s="1">
        <v>14076</v>
      </c>
      <c r="F11" s="1">
        <v>2165121024</v>
      </c>
      <c r="G11" s="1">
        <v>0</v>
      </c>
      <c r="H11" s="1">
        <v>5</v>
      </c>
      <c r="I11" s="1">
        <v>0</v>
      </c>
      <c r="J11" s="1">
        <v>825.84349094009804</v>
      </c>
      <c r="K11" s="1">
        <v>1452549547</v>
      </c>
      <c r="L11" s="1">
        <v>11667</v>
      </c>
      <c r="M11" s="1">
        <v>0</v>
      </c>
      <c r="N11" s="1">
        <v>0</v>
      </c>
      <c r="O11" s="1">
        <v>28672</v>
      </c>
      <c r="P11" s="1">
        <v>7</v>
      </c>
      <c r="Q11" s="1">
        <v>40596</v>
      </c>
      <c r="R11" s="1">
        <v>553846</v>
      </c>
    </row>
    <row r="12" spans="1:18" x14ac:dyDescent="0.25">
      <c r="A12" s="1">
        <v>3</v>
      </c>
      <c r="B12" s="1">
        <v>3</v>
      </c>
      <c r="C12" s="1">
        <v>2</v>
      </c>
      <c r="D12" s="1">
        <v>27</v>
      </c>
      <c r="E12" s="1">
        <v>14113</v>
      </c>
      <c r="F12" s="1">
        <v>2165121024</v>
      </c>
      <c r="G12" s="1">
        <v>0</v>
      </c>
      <c r="H12" s="1">
        <v>5</v>
      </c>
      <c r="I12" s="1">
        <v>0</v>
      </c>
      <c r="J12" s="1">
        <v>819.83215987527467</v>
      </c>
      <c r="K12" s="1">
        <v>1445869067</v>
      </c>
      <c r="L12" s="1">
        <v>11838</v>
      </c>
      <c r="M12" s="1">
        <v>0</v>
      </c>
      <c r="N12" s="1">
        <v>0</v>
      </c>
      <c r="O12" s="1">
        <v>28672</v>
      </c>
      <c r="P12" s="1">
        <v>7</v>
      </c>
      <c r="Q12" s="1">
        <v>30331</v>
      </c>
      <c r="R12" s="1">
        <v>552999</v>
      </c>
    </row>
    <row r="13" spans="1:18" x14ac:dyDescent="0.25">
      <c r="A13" s="1" t="s">
        <v>33</v>
      </c>
      <c r="B13" s="1">
        <f t="shared" ref="B13:R13" si="1">AVERAGE(B10:B12)</f>
        <v>3</v>
      </c>
      <c r="C13" s="1">
        <f t="shared" si="1"/>
        <v>2.6666666666666665</v>
      </c>
      <c r="D13" s="1">
        <f t="shared" si="1"/>
        <v>37.333333333333336</v>
      </c>
      <c r="E13" s="1">
        <f t="shared" si="1"/>
        <v>14119.333333333334</v>
      </c>
      <c r="F13" s="1">
        <f t="shared" si="1"/>
        <v>2165121024</v>
      </c>
      <c r="G13" s="1">
        <f t="shared" si="1"/>
        <v>0</v>
      </c>
      <c r="H13" s="1">
        <f t="shared" si="1"/>
        <v>5</v>
      </c>
      <c r="I13" s="1">
        <f t="shared" si="1"/>
        <v>0</v>
      </c>
      <c r="J13" s="1">
        <f t="shared" si="1"/>
        <v>826.21897137396036</v>
      </c>
      <c r="K13" s="1">
        <f t="shared" si="1"/>
        <v>1457735934</v>
      </c>
      <c r="L13" s="1">
        <f t="shared" si="1"/>
        <v>11175.333333333334</v>
      </c>
      <c r="M13" s="1">
        <f t="shared" si="1"/>
        <v>0</v>
      </c>
      <c r="N13" s="1">
        <f t="shared" si="1"/>
        <v>0</v>
      </c>
      <c r="O13" s="1">
        <f t="shared" si="1"/>
        <v>28672</v>
      </c>
      <c r="P13" s="1">
        <f t="shared" si="1"/>
        <v>7</v>
      </c>
      <c r="Q13" s="1">
        <f t="shared" si="1"/>
        <v>37713.333333333336</v>
      </c>
      <c r="R13" s="1">
        <f t="shared" si="1"/>
        <v>556185.66666666663</v>
      </c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 t="s">
        <v>17</v>
      </c>
      <c r="B15" s="1">
        <v>4096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3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26</v>
      </c>
      <c r="K16" s="1" t="s">
        <v>27</v>
      </c>
      <c r="L16" s="1" t="s">
        <v>28</v>
      </c>
      <c r="M16" s="1" t="s">
        <v>29</v>
      </c>
      <c r="N16" s="1" t="s">
        <v>30</v>
      </c>
      <c r="O16" s="1" t="s">
        <v>31</v>
      </c>
      <c r="P16" s="1" t="s">
        <v>32</v>
      </c>
      <c r="Q16" s="1" t="s">
        <v>4</v>
      </c>
      <c r="R16" s="1" t="s">
        <v>5</v>
      </c>
    </row>
    <row r="17" spans="1:18" x14ac:dyDescent="0.25">
      <c r="A17" s="1">
        <v>1</v>
      </c>
      <c r="B17" s="1">
        <v>4</v>
      </c>
      <c r="C17" s="1">
        <v>4</v>
      </c>
      <c r="D17" s="1">
        <v>167</v>
      </c>
      <c r="E17" s="1">
        <v>25040</v>
      </c>
      <c r="F17" s="1">
        <v>4312604672</v>
      </c>
      <c r="G17" s="1">
        <v>0</v>
      </c>
      <c r="H17" s="1">
        <v>6</v>
      </c>
      <c r="I17" s="1">
        <v>0</v>
      </c>
      <c r="J17" s="1">
        <v>663.21917878255317</v>
      </c>
      <c r="K17" s="1">
        <v>2075332010</v>
      </c>
      <c r="L17" s="1">
        <v>277516</v>
      </c>
      <c r="M17" s="1">
        <v>0</v>
      </c>
      <c r="N17" s="1">
        <v>0</v>
      </c>
      <c r="O17" s="1">
        <v>28672</v>
      </c>
      <c r="P17" s="1">
        <v>7</v>
      </c>
      <c r="Q17" s="1">
        <v>86837</v>
      </c>
      <c r="R17" s="1">
        <v>1109982</v>
      </c>
    </row>
    <row r="18" spans="1:18" x14ac:dyDescent="0.25">
      <c r="A18" s="1">
        <v>2</v>
      </c>
      <c r="B18" s="1">
        <v>4</v>
      </c>
      <c r="C18" s="1">
        <v>3</v>
      </c>
      <c r="D18" s="1">
        <v>146</v>
      </c>
      <c r="E18" s="1">
        <v>24985</v>
      </c>
      <c r="F18" s="1">
        <v>4312604672</v>
      </c>
      <c r="G18" s="1">
        <v>0</v>
      </c>
      <c r="H18" s="1">
        <v>6</v>
      </c>
      <c r="I18" s="1">
        <v>0</v>
      </c>
      <c r="J18" s="1">
        <v>645.02244720198541</v>
      </c>
      <c r="K18" s="1">
        <v>2014031437</v>
      </c>
      <c r="L18" s="1">
        <v>302953</v>
      </c>
      <c r="M18" s="1">
        <v>0</v>
      </c>
      <c r="N18" s="1">
        <v>0</v>
      </c>
      <c r="O18" s="1">
        <v>28672</v>
      </c>
      <c r="P18" s="1">
        <v>7</v>
      </c>
      <c r="Q18" s="1">
        <v>54404</v>
      </c>
      <c r="R18" s="1">
        <v>1114817</v>
      </c>
    </row>
    <row r="19" spans="1:18" x14ac:dyDescent="0.25">
      <c r="A19" s="1">
        <v>3</v>
      </c>
      <c r="B19" s="1">
        <v>3</v>
      </c>
      <c r="C19" s="1">
        <v>4</v>
      </c>
      <c r="D19" s="1">
        <v>68</v>
      </c>
      <c r="E19" s="1">
        <v>24729</v>
      </c>
      <c r="F19" s="1">
        <v>4312604672</v>
      </c>
      <c r="G19" s="1">
        <v>0</v>
      </c>
      <c r="H19" s="1">
        <v>5</v>
      </c>
      <c r="I19" s="1">
        <v>0</v>
      </c>
      <c r="J19" s="1">
        <v>651.33880266936296</v>
      </c>
      <c r="K19" s="1">
        <v>2012831603</v>
      </c>
      <c r="L19" s="1">
        <v>273982</v>
      </c>
      <c r="M19" s="1">
        <v>0</v>
      </c>
      <c r="N19" s="1">
        <v>0</v>
      </c>
      <c r="O19" s="1">
        <v>28672</v>
      </c>
      <c r="P19" s="1">
        <v>7</v>
      </c>
      <c r="Q19" s="1">
        <v>54857</v>
      </c>
      <c r="R19" s="1">
        <v>1084192</v>
      </c>
    </row>
    <row r="20" spans="1:18" x14ac:dyDescent="0.25">
      <c r="A20" s="1" t="s">
        <v>33</v>
      </c>
      <c r="B20" s="1">
        <f t="shared" ref="B20:R20" si="2">AVERAGE(B17:B19)</f>
        <v>3.6666666666666665</v>
      </c>
      <c r="C20" s="1">
        <f t="shared" si="2"/>
        <v>3.6666666666666665</v>
      </c>
      <c r="D20" s="1">
        <f t="shared" si="2"/>
        <v>127</v>
      </c>
      <c r="E20" s="1">
        <f t="shared" si="2"/>
        <v>24918</v>
      </c>
      <c r="F20" s="1">
        <f t="shared" si="2"/>
        <v>4312604672</v>
      </c>
      <c r="G20" s="1">
        <f t="shared" si="2"/>
        <v>0</v>
      </c>
      <c r="H20" s="1">
        <f t="shared" si="2"/>
        <v>5.666666666666667</v>
      </c>
      <c r="I20" s="1">
        <f t="shared" si="2"/>
        <v>0</v>
      </c>
      <c r="J20" s="1">
        <f t="shared" si="2"/>
        <v>653.19347621796715</v>
      </c>
      <c r="K20" s="1">
        <f t="shared" si="2"/>
        <v>2034065016.6666667</v>
      </c>
      <c r="L20" s="1">
        <f t="shared" si="2"/>
        <v>284817</v>
      </c>
      <c r="M20" s="1">
        <f t="shared" si="2"/>
        <v>0</v>
      </c>
      <c r="N20" s="1">
        <f t="shared" si="2"/>
        <v>0</v>
      </c>
      <c r="O20" s="1">
        <f t="shared" si="2"/>
        <v>28672</v>
      </c>
      <c r="P20" s="1">
        <f t="shared" si="2"/>
        <v>7</v>
      </c>
      <c r="Q20" s="1">
        <f t="shared" si="2"/>
        <v>65366</v>
      </c>
      <c r="R20" s="1">
        <f t="shared" si="2"/>
        <v>1102997</v>
      </c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17</v>
      </c>
      <c r="B22" s="1">
        <v>8192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 s="1" t="s">
        <v>21</v>
      </c>
      <c r="E23" s="1" t="s">
        <v>3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  <c r="N23" s="1" t="s">
        <v>30</v>
      </c>
      <c r="O23" s="1" t="s">
        <v>31</v>
      </c>
      <c r="P23" s="1" t="s">
        <v>32</v>
      </c>
      <c r="Q23" s="1" t="s">
        <v>4</v>
      </c>
      <c r="R23" s="1" t="s">
        <v>5</v>
      </c>
    </row>
    <row r="24" spans="1:18" x14ac:dyDescent="0.25">
      <c r="A24" s="1">
        <v>1</v>
      </c>
      <c r="B24" s="1">
        <v>4</v>
      </c>
      <c r="C24" s="1">
        <v>5</v>
      </c>
      <c r="D24" s="1">
        <v>56</v>
      </c>
      <c r="E24" s="1">
        <v>44028</v>
      </c>
      <c r="F24" s="1">
        <v>8607571968</v>
      </c>
      <c r="G24" s="1">
        <v>0</v>
      </c>
      <c r="H24" s="1">
        <v>6</v>
      </c>
      <c r="I24" s="1">
        <v>0</v>
      </c>
      <c r="J24" s="1">
        <v>420.11050423642189</v>
      </c>
      <c r="K24" s="1">
        <v>2311603181</v>
      </c>
      <c r="L24" s="1">
        <v>1243701</v>
      </c>
      <c r="M24" s="1">
        <v>0</v>
      </c>
      <c r="N24" s="1">
        <v>0</v>
      </c>
      <c r="O24" s="1">
        <v>28672</v>
      </c>
      <c r="P24" s="1">
        <v>7</v>
      </c>
      <c r="Q24" s="1">
        <v>131936</v>
      </c>
      <c r="R24" s="1">
        <v>2173007</v>
      </c>
    </row>
    <row r="25" spans="1:18" x14ac:dyDescent="0.25">
      <c r="A25" s="1">
        <v>2</v>
      </c>
      <c r="B25" s="1">
        <v>4</v>
      </c>
      <c r="C25" s="1">
        <v>5</v>
      </c>
      <c r="D25" s="1">
        <v>53</v>
      </c>
      <c r="E25" s="1">
        <v>44456</v>
      </c>
      <c r="F25" s="1">
        <v>8607571968</v>
      </c>
      <c r="G25" s="1">
        <v>0</v>
      </c>
      <c r="H25" s="1">
        <v>6</v>
      </c>
      <c r="I25" s="1">
        <v>0</v>
      </c>
      <c r="J25" s="1">
        <v>395.71810541945058</v>
      </c>
      <c r="K25" s="1">
        <v>2198545778</v>
      </c>
      <c r="L25" s="1">
        <v>1283003</v>
      </c>
      <c r="M25" s="1">
        <v>0</v>
      </c>
      <c r="N25" s="1">
        <v>0</v>
      </c>
      <c r="O25" s="1">
        <v>28672</v>
      </c>
      <c r="P25" s="1">
        <v>7</v>
      </c>
      <c r="Q25" s="1">
        <v>152747</v>
      </c>
      <c r="R25" s="1">
        <v>2170482</v>
      </c>
    </row>
    <row r="26" spans="1:18" x14ac:dyDescent="0.25">
      <c r="A26" s="1">
        <v>3</v>
      </c>
      <c r="B26" s="1">
        <v>3</v>
      </c>
      <c r="C26" s="1">
        <v>6</v>
      </c>
      <c r="D26" s="1">
        <v>107</v>
      </c>
      <c r="E26" s="1">
        <v>44148</v>
      </c>
      <c r="F26" s="1">
        <v>8607571968</v>
      </c>
      <c r="G26" s="1">
        <v>0</v>
      </c>
      <c r="H26" s="1">
        <v>5</v>
      </c>
      <c r="I26" s="1">
        <v>0</v>
      </c>
      <c r="J26" s="1">
        <v>409.8283887454125</v>
      </c>
      <c r="K26" s="1">
        <v>2261118208</v>
      </c>
      <c r="L26" s="1">
        <v>1242594</v>
      </c>
      <c r="M26" s="1">
        <v>0</v>
      </c>
      <c r="N26" s="1">
        <v>0</v>
      </c>
      <c r="O26" s="1">
        <v>28672</v>
      </c>
      <c r="P26" s="1">
        <v>7</v>
      </c>
      <c r="Q26" s="1">
        <v>58116</v>
      </c>
      <c r="R26" s="1">
        <v>2151062</v>
      </c>
    </row>
    <row r="27" spans="1:18" x14ac:dyDescent="0.25">
      <c r="A27" s="1" t="s">
        <v>33</v>
      </c>
      <c r="B27" s="1">
        <f t="shared" ref="B27:R27" si="3">AVERAGE(B24:B26)</f>
        <v>3.6666666666666665</v>
      </c>
      <c r="C27" s="1">
        <f t="shared" si="3"/>
        <v>5.333333333333333</v>
      </c>
      <c r="D27" s="1">
        <f t="shared" si="3"/>
        <v>72</v>
      </c>
      <c r="E27" s="1">
        <f t="shared" si="3"/>
        <v>44210.666666666664</v>
      </c>
      <c r="F27" s="1">
        <f t="shared" si="3"/>
        <v>8607571968</v>
      </c>
      <c r="G27" s="1">
        <f t="shared" si="3"/>
        <v>0</v>
      </c>
      <c r="H27" s="1">
        <f t="shared" si="3"/>
        <v>5.666666666666667</v>
      </c>
      <c r="I27" s="1">
        <f t="shared" si="3"/>
        <v>0</v>
      </c>
      <c r="J27" s="1">
        <f t="shared" si="3"/>
        <v>408.5523328004283</v>
      </c>
      <c r="K27" s="1">
        <f t="shared" si="3"/>
        <v>2257089055.6666665</v>
      </c>
      <c r="L27" s="1">
        <f t="shared" si="3"/>
        <v>1256432.6666666667</v>
      </c>
      <c r="M27" s="1">
        <f t="shared" si="3"/>
        <v>0</v>
      </c>
      <c r="N27" s="1">
        <f t="shared" si="3"/>
        <v>0</v>
      </c>
      <c r="O27" s="1">
        <f t="shared" si="3"/>
        <v>28672</v>
      </c>
      <c r="P27" s="1">
        <f t="shared" si="3"/>
        <v>7</v>
      </c>
      <c r="Q27" s="1">
        <f t="shared" si="3"/>
        <v>114266.33333333333</v>
      </c>
      <c r="R27" s="1">
        <f t="shared" si="3"/>
        <v>2164850.3333333335</v>
      </c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 t="s">
        <v>17</v>
      </c>
      <c r="B29" s="1">
        <v>12288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 s="1" t="s">
        <v>21</v>
      </c>
      <c r="E30" s="1" t="s">
        <v>3</v>
      </c>
      <c r="F30" s="1" t="s">
        <v>22</v>
      </c>
      <c r="G30" s="1" t="s">
        <v>23</v>
      </c>
      <c r="H30" s="1" t="s">
        <v>24</v>
      </c>
      <c r="I30" s="1" t="s">
        <v>25</v>
      </c>
      <c r="J30" s="1" t="s">
        <v>26</v>
      </c>
      <c r="K30" s="1" t="s">
        <v>27</v>
      </c>
      <c r="L30" s="1" t="s">
        <v>28</v>
      </c>
      <c r="M30" s="1" t="s">
        <v>29</v>
      </c>
      <c r="N30" s="1" t="s">
        <v>30</v>
      </c>
      <c r="O30" s="1" t="s">
        <v>31</v>
      </c>
      <c r="P30" s="1" t="s">
        <v>32</v>
      </c>
      <c r="Q30" s="1" t="s">
        <v>4</v>
      </c>
      <c r="R30" s="1" t="s">
        <v>5</v>
      </c>
    </row>
    <row r="31" spans="1:18" x14ac:dyDescent="0.25">
      <c r="A31" s="1">
        <v>1</v>
      </c>
      <c r="B31" s="1">
        <v>4</v>
      </c>
      <c r="C31" s="1">
        <v>7</v>
      </c>
      <c r="D31" s="1">
        <v>52</v>
      </c>
      <c r="E31" s="1">
        <v>60852</v>
      </c>
      <c r="F31" s="1">
        <v>12902539264</v>
      </c>
      <c r="G31" s="1">
        <v>0</v>
      </c>
      <c r="H31" s="1">
        <v>6</v>
      </c>
      <c r="I31" s="1">
        <v>0</v>
      </c>
      <c r="J31" s="1">
        <v>298.65320115046433</v>
      </c>
      <c r="K31" s="1">
        <v>2271231843</v>
      </c>
      <c r="L31" s="1">
        <v>2286362</v>
      </c>
      <c r="M31" s="1">
        <v>0</v>
      </c>
      <c r="N31" s="1">
        <v>0</v>
      </c>
      <c r="O31" s="1">
        <v>28672</v>
      </c>
      <c r="P31" s="1">
        <v>7</v>
      </c>
      <c r="Q31" s="1">
        <v>139014</v>
      </c>
      <c r="R31" s="1">
        <v>3222535</v>
      </c>
    </row>
    <row r="32" spans="1:18" x14ac:dyDescent="0.25">
      <c r="A32" s="1">
        <v>2</v>
      </c>
      <c r="B32" s="1">
        <v>4</v>
      </c>
      <c r="C32" s="1">
        <v>6</v>
      </c>
      <c r="D32" s="1">
        <v>52</v>
      </c>
      <c r="E32" s="1">
        <v>61080</v>
      </c>
      <c r="F32" s="1">
        <v>12902539264</v>
      </c>
      <c r="G32" s="1">
        <v>0</v>
      </c>
      <c r="H32" s="1">
        <v>6</v>
      </c>
      <c r="I32" s="1">
        <v>0</v>
      </c>
      <c r="J32" s="1">
        <v>315.79870543930309</v>
      </c>
      <c r="K32" s="1">
        <v>2410673857</v>
      </c>
      <c r="L32" s="1">
        <v>2231507</v>
      </c>
      <c r="M32" s="1">
        <v>0</v>
      </c>
      <c r="N32" s="1">
        <v>0</v>
      </c>
      <c r="O32" s="1">
        <v>28672</v>
      </c>
      <c r="P32" s="1">
        <v>7</v>
      </c>
      <c r="Q32" s="1">
        <v>141595</v>
      </c>
      <c r="R32" s="1">
        <v>3206032</v>
      </c>
    </row>
    <row r="33" spans="1:18" x14ac:dyDescent="0.25">
      <c r="A33" s="1">
        <v>3</v>
      </c>
      <c r="B33" s="1">
        <v>4</v>
      </c>
      <c r="C33" s="1">
        <v>7</v>
      </c>
      <c r="D33" s="1">
        <v>54</v>
      </c>
      <c r="E33" s="1">
        <v>60670</v>
      </c>
      <c r="F33" s="1">
        <v>12902539264</v>
      </c>
      <c r="G33" s="1">
        <v>0</v>
      </c>
      <c r="H33" s="1">
        <v>6</v>
      </c>
      <c r="I33" s="1">
        <v>0</v>
      </c>
      <c r="J33" s="1">
        <v>301.97451824011341</v>
      </c>
      <c r="K33" s="1">
        <v>2289622615</v>
      </c>
      <c r="L33" s="1">
        <v>2272568</v>
      </c>
      <c r="M33" s="1">
        <v>0</v>
      </c>
      <c r="N33" s="1">
        <v>0</v>
      </c>
      <c r="O33" s="1">
        <v>28672</v>
      </c>
      <c r="P33" s="1">
        <v>7</v>
      </c>
      <c r="Q33" s="1">
        <v>83699</v>
      </c>
      <c r="R33" s="1">
        <v>3206023</v>
      </c>
    </row>
    <row r="34" spans="1:18" x14ac:dyDescent="0.25">
      <c r="A34" s="1" t="s">
        <v>33</v>
      </c>
      <c r="B34" s="1">
        <f t="shared" ref="B34:R34" si="4">AVERAGE(B31:B33)</f>
        <v>4</v>
      </c>
      <c r="C34" s="1">
        <f t="shared" si="4"/>
        <v>6.666666666666667</v>
      </c>
      <c r="D34" s="1">
        <f t="shared" si="4"/>
        <v>52.666666666666664</v>
      </c>
      <c r="E34" s="1">
        <f t="shared" si="4"/>
        <v>60867.333333333336</v>
      </c>
      <c r="F34" s="1">
        <f t="shared" si="4"/>
        <v>12902539264</v>
      </c>
      <c r="G34" s="1">
        <f t="shared" si="4"/>
        <v>0</v>
      </c>
      <c r="H34" s="1">
        <f t="shared" si="4"/>
        <v>6</v>
      </c>
      <c r="I34" s="1">
        <f t="shared" si="4"/>
        <v>0</v>
      </c>
      <c r="J34" s="1">
        <f t="shared" si="4"/>
        <v>305.47547494329359</v>
      </c>
      <c r="K34" s="1">
        <f t="shared" si="4"/>
        <v>2323842771.6666665</v>
      </c>
      <c r="L34" s="1">
        <f t="shared" si="4"/>
        <v>2263479</v>
      </c>
      <c r="M34" s="1">
        <f t="shared" si="4"/>
        <v>0</v>
      </c>
      <c r="N34" s="1">
        <f t="shared" si="4"/>
        <v>0</v>
      </c>
      <c r="O34" s="1">
        <f t="shared" si="4"/>
        <v>28672</v>
      </c>
      <c r="P34" s="1">
        <f t="shared" si="4"/>
        <v>7</v>
      </c>
      <c r="Q34" s="1">
        <f t="shared" si="4"/>
        <v>121436</v>
      </c>
      <c r="R34" s="1">
        <f t="shared" si="4"/>
        <v>3211530</v>
      </c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 t="s">
        <v>17</v>
      </c>
      <c r="B36" s="1">
        <v>16384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 s="1" t="s">
        <v>21</v>
      </c>
      <c r="E37" s="1" t="s">
        <v>3</v>
      </c>
      <c r="F37" s="1" t="s">
        <v>22</v>
      </c>
      <c r="G37" s="1" t="s">
        <v>23</v>
      </c>
      <c r="H37" s="1" t="s">
        <v>24</v>
      </c>
      <c r="I37" s="1" t="s">
        <v>25</v>
      </c>
      <c r="J37" s="1" t="s">
        <v>26</v>
      </c>
      <c r="K37" s="1" t="s">
        <v>27</v>
      </c>
      <c r="L37" s="1" t="s">
        <v>28</v>
      </c>
      <c r="M37" s="1" t="s">
        <v>29</v>
      </c>
      <c r="N37" s="1" t="s">
        <v>30</v>
      </c>
      <c r="O37" s="1" t="s">
        <v>31</v>
      </c>
      <c r="P37" s="1" t="s">
        <v>32</v>
      </c>
      <c r="Q37" s="1" t="s">
        <v>4</v>
      </c>
      <c r="R37" s="1" t="s">
        <v>5</v>
      </c>
    </row>
    <row r="38" spans="1:18" x14ac:dyDescent="0.25">
      <c r="A38" s="1">
        <v>1</v>
      </c>
      <c r="B38" s="1">
        <v>5</v>
      </c>
      <c r="C38" s="1">
        <v>9</v>
      </c>
      <c r="D38" s="1">
        <v>145</v>
      </c>
      <c r="E38" s="1">
        <v>80623</v>
      </c>
      <c r="F38" s="1">
        <v>17197506560</v>
      </c>
      <c r="G38" s="1">
        <v>0</v>
      </c>
      <c r="H38" s="1">
        <v>7</v>
      </c>
      <c r="I38" s="1">
        <v>0</v>
      </c>
      <c r="J38" s="1">
        <v>254.93168839159449</v>
      </c>
      <c r="K38" s="1">
        <v>2568670205</v>
      </c>
      <c r="L38" s="1">
        <v>3258495</v>
      </c>
      <c r="M38" s="1">
        <v>0</v>
      </c>
      <c r="N38" s="1">
        <v>0</v>
      </c>
      <c r="O38" s="1">
        <v>53248</v>
      </c>
      <c r="P38" s="1">
        <v>13</v>
      </c>
      <c r="Q38" s="1">
        <v>233482</v>
      </c>
      <c r="R38" s="1">
        <v>4303510</v>
      </c>
    </row>
    <row r="39" spans="1:18" x14ac:dyDescent="0.25">
      <c r="A39" s="1">
        <v>2</v>
      </c>
      <c r="B39" s="1">
        <v>6</v>
      </c>
      <c r="C39" s="1">
        <v>8</v>
      </c>
      <c r="D39" s="1">
        <v>100</v>
      </c>
      <c r="E39" s="1">
        <v>80516</v>
      </c>
      <c r="F39" s="1">
        <v>17197506560</v>
      </c>
      <c r="G39" s="1">
        <v>0</v>
      </c>
      <c r="H39" s="1">
        <v>8</v>
      </c>
      <c r="I39" s="1">
        <v>0</v>
      </c>
      <c r="J39" s="1">
        <v>247.00560282207979</v>
      </c>
      <c r="K39" s="1">
        <v>2485528422</v>
      </c>
      <c r="L39" s="1">
        <v>3284965</v>
      </c>
      <c r="M39" s="1">
        <v>0</v>
      </c>
      <c r="N39" s="1">
        <v>0</v>
      </c>
      <c r="O39" s="1">
        <v>61440</v>
      </c>
      <c r="P39" s="1">
        <v>15</v>
      </c>
      <c r="Q39" s="1">
        <v>226840</v>
      </c>
      <c r="R39" s="1">
        <v>4309637</v>
      </c>
    </row>
    <row r="40" spans="1:18" x14ac:dyDescent="0.25">
      <c r="A40" s="1">
        <v>3</v>
      </c>
      <c r="B40" s="1">
        <v>6</v>
      </c>
      <c r="C40" s="1">
        <v>9</v>
      </c>
      <c r="D40" s="1">
        <v>95</v>
      </c>
      <c r="E40" s="1">
        <v>79522</v>
      </c>
      <c r="F40" s="1">
        <v>17197506560</v>
      </c>
      <c r="G40" s="1">
        <v>0</v>
      </c>
      <c r="H40" s="1">
        <v>8</v>
      </c>
      <c r="I40" s="1">
        <v>0</v>
      </c>
      <c r="J40" s="1">
        <v>259.08368563631097</v>
      </c>
      <c r="K40" s="1">
        <v>2574852425</v>
      </c>
      <c r="L40" s="1">
        <v>3245358</v>
      </c>
      <c r="M40" s="1">
        <v>0</v>
      </c>
      <c r="N40" s="1">
        <v>0</v>
      </c>
      <c r="O40" s="1">
        <v>45056</v>
      </c>
      <c r="P40" s="1">
        <v>11</v>
      </c>
      <c r="Q40" s="1">
        <v>171859</v>
      </c>
      <c r="R40" s="1">
        <v>4294218</v>
      </c>
    </row>
    <row r="41" spans="1:18" x14ac:dyDescent="0.25">
      <c r="A41" s="1" t="s">
        <v>33</v>
      </c>
      <c r="B41" s="1">
        <f t="shared" ref="B41:R41" si="5">AVERAGE(B38:B40)</f>
        <v>5.666666666666667</v>
      </c>
      <c r="C41" s="1">
        <f t="shared" si="5"/>
        <v>8.6666666666666661</v>
      </c>
      <c r="D41" s="1">
        <f t="shared" si="5"/>
        <v>113.33333333333333</v>
      </c>
      <c r="E41" s="1">
        <f t="shared" si="5"/>
        <v>80220.333333333328</v>
      </c>
      <c r="F41" s="1">
        <f t="shared" si="5"/>
        <v>17197506560</v>
      </c>
      <c r="G41" s="1">
        <f t="shared" si="5"/>
        <v>0</v>
      </c>
      <c r="H41" s="1">
        <f t="shared" si="5"/>
        <v>7.666666666666667</v>
      </c>
      <c r="I41" s="1">
        <f t="shared" si="5"/>
        <v>0</v>
      </c>
      <c r="J41" s="1">
        <f t="shared" si="5"/>
        <v>253.67365894999509</v>
      </c>
      <c r="K41" s="1">
        <f t="shared" si="5"/>
        <v>2543017017.3333335</v>
      </c>
      <c r="L41" s="1">
        <f t="shared" si="5"/>
        <v>3262939.3333333335</v>
      </c>
      <c r="M41" s="1">
        <f t="shared" si="5"/>
        <v>0</v>
      </c>
      <c r="N41" s="1">
        <f t="shared" si="5"/>
        <v>0</v>
      </c>
      <c r="O41" s="1">
        <f t="shared" si="5"/>
        <v>53248</v>
      </c>
      <c r="P41" s="1">
        <f t="shared" si="5"/>
        <v>13</v>
      </c>
      <c r="Q41" s="1">
        <f t="shared" si="5"/>
        <v>210727</v>
      </c>
      <c r="R41" s="1">
        <f t="shared" si="5"/>
        <v>4302455</v>
      </c>
    </row>
    <row r="42" spans="1:1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Vanilla</vt:lpstr>
      <vt:lpstr>XBZRLE</vt:lpstr>
      <vt:lpstr>Compress</vt:lpstr>
      <vt:lpstr>HBFDP_SHA1</vt:lpstr>
      <vt:lpstr>HBFDP_MD5</vt:lpstr>
      <vt:lpstr>HBFDP_Murmur3</vt:lpstr>
      <vt:lpstr>XBZRLE_HBFDP_SHA1</vt:lpstr>
      <vt:lpstr>XBZRLE_HBFDP_MD5</vt:lpstr>
      <vt:lpstr>XBZRLE_HBFDP_Murmur3</vt:lpstr>
      <vt:lpstr>Compress_HBFDP_SHA1</vt:lpstr>
      <vt:lpstr>Compress_HBFDP_MD5</vt:lpstr>
      <vt:lpstr>Compress_HBFDP_Murmur3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Samindu Cooray</cp:lastModifiedBy>
  <dcterms:created xsi:type="dcterms:W3CDTF">2024-08-19T05:58:10Z</dcterms:created>
  <dcterms:modified xsi:type="dcterms:W3CDTF">2024-08-19T19:40:49Z</dcterms:modified>
</cp:coreProperties>
</file>